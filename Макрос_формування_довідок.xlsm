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olta\Desktop\"/>
    </mc:Choice>
  </mc:AlternateContent>
  <bookViews>
    <workbookView xWindow="0" yWindow="0" windowWidth="21533" windowHeight="9124"/>
  </bookViews>
  <sheets>
    <sheet name="Input" sheetId="7" r:id="rId1"/>
    <sheet name="List" sheetId="1" r:id="rId2"/>
    <sheet name="Calc" sheetId="2" r:id="rId3"/>
    <sheet name="Settings" sheetId="5" r:id="rId4"/>
    <sheet name="Result" sheetId="4" r:id="rId5"/>
  </sheets>
  <functionGroups builtInGroupCount="18"/>
  <definedNames>
    <definedName name="_xlnm.Print_Titles" localSheetId="0">Input!$A:$B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7" i="7" l="1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6" i="7"/>
  <c r="E3" i="1" l="1"/>
  <c r="E4" i="1"/>
  <c r="E5" i="1"/>
  <c r="V1" i="1" l="1"/>
  <c r="D1" i="2" l="1"/>
  <c r="C1" i="2"/>
  <c r="C1" i="1"/>
  <c r="C2" i="1" s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F4" i="1"/>
  <c r="G4" i="1"/>
  <c r="H4" i="1"/>
  <c r="I4" i="1"/>
  <c r="J4" i="1"/>
  <c r="J44" i="1" s="1"/>
  <c r="K4" i="1"/>
  <c r="L4" i="1"/>
  <c r="M4" i="1"/>
  <c r="N4" i="1"/>
  <c r="O4" i="1"/>
  <c r="P4" i="1"/>
  <c r="Q4" i="1"/>
  <c r="R4" i="1"/>
  <c r="S4" i="1"/>
  <c r="T4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D42" i="1"/>
  <c r="D43" i="1"/>
  <c r="D41" i="1"/>
  <c r="D34" i="1"/>
  <c r="D35" i="1"/>
  <c r="D36" i="1"/>
  <c r="D37" i="1"/>
  <c r="D38" i="1"/>
  <c r="D39" i="1"/>
  <c r="D40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12" i="1"/>
  <c r="D4" i="1"/>
  <c r="D5" i="1"/>
  <c r="D6" i="1"/>
  <c r="D7" i="1"/>
  <c r="D8" i="1"/>
  <c r="D9" i="1"/>
  <c r="D10" i="1"/>
  <c r="D11" i="1"/>
  <c r="D3" i="1"/>
  <c r="B42" i="1"/>
  <c r="B43" i="1"/>
  <c r="B41" i="1"/>
  <c r="B40" i="1"/>
  <c r="B33" i="1"/>
  <c r="B34" i="1"/>
  <c r="B35" i="1"/>
  <c r="B36" i="1"/>
  <c r="B37" i="1"/>
  <c r="B38" i="1"/>
  <c r="B39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12" i="1"/>
  <c r="B5" i="1"/>
  <c r="B6" i="1"/>
  <c r="B7" i="1"/>
  <c r="B8" i="1"/>
  <c r="B9" i="1"/>
  <c r="B10" i="1"/>
  <c r="B11" i="1"/>
  <c r="B4" i="1"/>
  <c r="B3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S44" i="1" l="1"/>
  <c r="O44" i="1"/>
  <c r="K44" i="1"/>
  <c r="R44" i="1"/>
  <c r="N44" i="1"/>
  <c r="C3" i="1"/>
  <c r="C8" i="1"/>
  <c r="C4" i="1"/>
  <c r="C31" i="1"/>
  <c r="C27" i="1"/>
  <c r="C23" i="1"/>
  <c r="C19" i="1"/>
  <c r="C15" i="1"/>
  <c r="C39" i="1"/>
  <c r="C35" i="1"/>
  <c r="C10" i="1"/>
  <c r="Q44" i="1"/>
  <c r="M44" i="1"/>
  <c r="T44" i="1"/>
  <c r="P44" i="1"/>
  <c r="L44" i="1"/>
  <c r="C41" i="1"/>
  <c r="C37" i="1"/>
  <c r="C5" i="1"/>
  <c r="C38" i="1"/>
  <c r="C34" i="1"/>
  <c r="C33" i="1"/>
  <c r="C30" i="1"/>
  <c r="C29" i="1"/>
  <c r="C26" i="1"/>
  <c r="C25" i="1"/>
  <c r="C22" i="1"/>
  <c r="C21" i="1"/>
  <c r="C18" i="1"/>
  <c r="C17" i="1"/>
  <c r="C14" i="1"/>
  <c r="C40" i="1"/>
  <c r="C32" i="1"/>
  <c r="C28" i="1"/>
  <c r="C20" i="1"/>
  <c r="C12" i="1"/>
  <c r="C11" i="1"/>
  <c r="C9" i="1"/>
  <c r="C7" i="1"/>
  <c r="C6" i="1"/>
  <c r="C42" i="1"/>
  <c r="C36" i="1"/>
  <c r="C24" i="1"/>
  <c r="C13" i="1"/>
  <c r="C16" i="1"/>
  <c r="C43" i="1"/>
  <c r="E44" i="1"/>
  <c r="F44" i="1"/>
  <c r="G44" i="1"/>
  <c r="H44" i="1"/>
  <c r="I44" i="1"/>
  <c r="D44" i="1"/>
  <c r="C44" i="1" l="1"/>
</calcChain>
</file>

<file path=xl/sharedStrings.xml><?xml version="1.0" encoding="utf-8"?>
<sst xmlns="http://schemas.openxmlformats.org/spreadsheetml/2006/main" count="95" uniqueCount="95">
  <si>
    <t>ФИО</t>
  </si>
  <si>
    <t>ВСЕГО</t>
  </si>
  <si>
    <t>Период</t>
  </si>
  <si>
    <t xml:space="preserve">Продажа </t>
  </si>
  <si>
    <t xml:space="preserve"> - </t>
  </si>
  <si>
    <t>місяць</t>
  </si>
  <si>
    <t>список ВП (відділів поліції) які використовуються для формування довідки</t>
  </si>
  <si>
    <t>всього</t>
  </si>
  <si>
    <t xml:space="preserve"> зареєстровано </t>
  </si>
  <si>
    <t xml:space="preserve">За </t>
  </si>
  <si>
    <t>MANY</t>
  </si>
  <si>
    <t>ONE</t>
  </si>
  <si>
    <t xml:space="preserve"> підрозділах, з них: </t>
  </si>
  <si>
    <t xml:space="preserve"> підрозділі, а саме в: </t>
  </si>
  <si>
    <t>&gt;=5</t>
  </si>
  <si>
    <t xml:space="preserve"> 2-4</t>
  </si>
  <si>
    <t>місяць згідно</t>
  </si>
  <si>
    <t xml:space="preserve"> і </t>
  </si>
  <si>
    <t xml:space="preserve"> - по </t>
  </si>
  <si>
    <t>Інформація за ____________________</t>
  </si>
  <si>
    <t>Менеджер1</t>
  </si>
  <si>
    <t>Менеджер2</t>
  </si>
  <si>
    <t>Менеджер3</t>
  </si>
  <si>
    <t>Менеджер4</t>
  </si>
  <si>
    <t>Менеджер5</t>
  </si>
  <si>
    <t>Менеджер6</t>
  </si>
  <si>
    <t>Менеджер7</t>
  </si>
  <si>
    <t>Менеджер8</t>
  </si>
  <si>
    <t>Менеджер9</t>
  </si>
  <si>
    <t>Менеджер10</t>
  </si>
  <si>
    <t>Менеджер11</t>
  </si>
  <si>
    <t>Менеджер12</t>
  </si>
  <si>
    <t>Менеджер13</t>
  </si>
  <si>
    <t>Менеджер14</t>
  </si>
  <si>
    <t>Менеджер15</t>
  </si>
  <si>
    <t>Менеджер16</t>
  </si>
  <si>
    <t>Менеджер17</t>
  </si>
  <si>
    <t>Менеджер18</t>
  </si>
  <si>
    <t>Менеджер19</t>
  </si>
  <si>
    <t>Менеджер20</t>
  </si>
  <si>
    <t>Менеджер21</t>
  </si>
  <si>
    <t>Менеджер22</t>
  </si>
  <si>
    <t>Менеджер23</t>
  </si>
  <si>
    <t>Менеджер24</t>
  </si>
  <si>
    <t>Менеджер25</t>
  </si>
  <si>
    <t>Менеджер26</t>
  </si>
  <si>
    <t>Менеджер27</t>
  </si>
  <si>
    <t>Менеджер28</t>
  </si>
  <si>
    <t>Менеджер29</t>
  </si>
  <si>
    <t>Менеджер30</t>
  </si>
  <si>
    <t>Менеджер31</t>
  </si>
  <si>
    <t>Менеджер32</t>
  </si>
  <si>
    <t>Менеджер33</t>
  </si>
  <si>
    <t>Менеджер34</t>
  </si>
  <si>
    <t>Менеджер35</t>
  </si>
  <si>
    <t>Менеджер36</t>
  </si>
  <si>
    <t>Менеджер37</t>
  </si>
  <si>
    <t>Менеджер38</t>
  </si>
  <si>
    <t>Менеджер39</t>
  </si>
  <si>
    <t>Менеджер40</t>
  </si>
  <si>
    <t>Менеджер41</t>
  </si>
  <si>
    <t>Менеджер42</t>
  </si>
  <si>
    <t>Менеджер43</t>
  </si>
  <si>
    <t>Менеджер44</t>
  </si>
  <si>
    <t>Менеджер</t>
  </si>
  <si>
    <t xml:space="preserve"> продаж у </t>
  </si>
  <si>
    <t>продажа в</t>
  </si>
  <si>
    <t>Головному підрозділі</t>
  </si>
  <si>
    <t xml:space="preserve"> продажі в </t>
  </si>
  <si>
    <t xml:space="preserve">Про результати маркетингової акції за </t>
  </si>
  <si>
    <t xml:space="preserve"> продажі не здійснювалися.</t>
  </si>
  <si>
    <t xml:space="preserve"> Кодексі Ведення Бізнесу</t>
  </si>
  <si>
    <t xml:space="preserve"> Кодексу Ведення Продажів компаній здійснено</t>
  </si>
  <si>
    <t xml:space="preserve">По </t>
  </si>
  <si>
    <t>Продано товарів по:</t>
  </si>
  <si>
    <t>товару1</t>
  </si>
  <si>
    <t>товару2</t>
  </si>
  <si>
    <t>товару3</t>
  </si>
  <si>
    <t>товару4</t>
  </si>
  <si>
    <t>товару5</t>
  </si>
  <si>
    <t>товару6</t>
  </si>
  <si>
    <t>товару7</t>
  </si>
  <si>
    <t>товару8</t>
  </si>
  <si>
    <t>товару9</t>
  </si>
  <si>
    <t>товару10</t>
  </si>
  <si>
    <t>товару11</t>
  </si>
  <si>
    <t>товару12</t>
  </si>
  <si>
    <t>товару13</t>
  </si>
  <si>
    <t>товару14</t>
  </si>
  <si>
    <t>товару15</t>
  </si>
  <si>
    <t>товару16</t>
  </si>
  <si>
    <t>товару17</t>
  </si>
  <si>
    <t xml:space="preserve">Не здійснювали продажі </t>
  </si>
  <si>
    <t xml:space="preserve">            Довідка (сенс даної довідки може видатися незначним. Реальні дані змінені. Деякі закінчення можуть бути незгодженими у зв'язку із заміною)</t>
  </si>
  <si>
    <t xml:space="preserve">            Довідка (сенс даної довідки може видатися незначним. Реальні дані змінені. Деякі закінчення можуть бути незгодженими у зв'язку із заміною)
Про результати маркетингової акції за місяць
За місяць згідно Кодексу Ведення Продажів компаній здійснено163 продажі в 18 підрозділах, з них: Менеджер13 - 21, Менеджер3 - 20, Менеджер1, Менеджер8 - по 17, Менеджер5, Менеджер22 - по 12, Менеджер14 - 11, Менеджер7 - 10, Менеджер25 - 9, Менеджер6 - 7, Менеджер44 - 6, Менеджер4, Менеджер9, Менеджер19 - по 5, Менеджер21, Менеджер42 - по 2, Менеджер2, Менеджер43 - по 1.
Не здійснювали продажі місяць згідно Кодексі Ведення Бізнесу23Головному підрозділі: Менеджер15, Менеджер16, Менеджер17, Менеджер18, Менеджер20, Менеджер23, Менеджер24,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 і Менеджер41.
За товару1 Кодексу Ведення Продажів компаній здійснено46 продаж у 9 підрозділах, з них: Менеджер1 - 17, Менеджер13 - 16, Менеджер3 - 5, Менеджер8 - 3, Менеджер2, Менеджер4, Менеджер5, Менеджер6, Менеджер44 - по 1.
Не здійснювали продажі товару1 Кодексі Ведення Бізнесу32Головному підрозділі: Менеджер7, Менеджер9, Менеджер14, Менеджер15, Менеджер16, Менеджер17, Менеджер18, Менеджер19, Менеджер20, Менеджер21,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 і Менеджер43.
За товару2 Кодексу Ведення Продажів компаній здійснено9 продаж у 1 підрозділі, а саме в: Менеджер14 - 9.
Не здійснювали продажі товару2 Кодексі Ведення Бізнесу40Головному підрозділі: Менеджер1, Менеджер2, Менеджер3, Менеджер4, Менеджер5, Менеджер6, Менеджер7, Менеджер8, Менеджер9, Менеджер13, Менеджер15, Менеджер16, Менеджер17, Менеджер18, Менеджер19, Менеджер20, Менеджер21,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За товару3 Кодексу Ведення Продажів компаній здійснено14 продаж у 4 підрозділах, з них: Менеджер25 - 9, Менеджер14, Менеджер42 - по 2, Менеджер43 - 1.
Не здійснювали продажі товару3 Кодексі Ведення Бізнесу37Головному підрозділі: Менеджер1, Менеджер2, Менеджер3, Менеджер4, Менеджер5, Менеджер6, Менеджер7, Менеджер8, Менеджер9, Менеджер13, Менеджер15, Менеджер16, Менеджер17, Менеджер18, Менеджер19, Менеджер20, Менеджер21, Менеджер22, Менеджер23, Менеджер24,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 і Менеджер44.
За товару4 Кодексу Ведення Продажів компаній здійснено10 продаж у 2 підрозділах, з них: Менеджер13, Менеджер44 - по 5.
Не здійснювали продажі товару4 Кодексі Ведення Бізнесу39Головному підрозділі: Менеджер1, Менеджер2, Менеджер3, Менеджер4, Менеджер5, Менеджер6, Менеджер7, Менеджер8, Менеджер9, Менеджер14, Менеджер15, Менеджер16, Менеджер17, Менеджер18, Менеджер19, Менеджер20, Менеджер21,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 і Менеджер43.
За товару5 Кодексу Ведення Продажів компаній здійснено5 продаж у 1 підрозділі, а саме в: Менеджер9 - 5.
Не здійснювали продажі товару5 Кодексі Ведення Бізнесу40Головному підрозділі: Менеджер1, Менеджер2, Менеджер3, Менеджер4, Менеджер5, Менеджер6, Менеджер7, Менеджер8, Менеджер13, Менеджер14, Менеджер15, Менеджер16, Менеджер17, Менеджер18, Менеджер19, Менеджер20, Менеджер21,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За товару6 Кодексу Ведення Продажів компаній здійснено20 продаж у 2 підрозділах, з них: Менеджер8 - 14, Менеджер7 - 6.
Не здійснювали продажі товару6 Кодексі Ведення Бізнесу39Головному підрозділі: Менеджер1, Менеджер2, Менеджер3, Менеджер4, Менеджер5, Менеджер6, Менеджер9, Менеджер13, Менеджер14, Менеджер15, Менеджер16, Менеджер17, Менеджер18, Менеджер19, Менеджер20, Менеджер21,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За товару7 Кодексу Ведення Продажів компаній здійснено13 продаж у 3 підрозділах, з них: Менеджер6 - 6, Менеджер19 - 5, Менеджер21 - 2.
Не здійснювали продажі товару7 Кодексі Ведення Бізнесу38Головному підрозділі: Менеджер1, Менеджер2, Менеджер3, Менеджер4, Менеджер5, Менеджер7, Менеджер8, Менеджер9, Менеджер13, Менеджер14, Менеджер15, Менеджер16, Менеджер17, Менеджер18, Менеджер20,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За товару8 Кодексу Ведення Продажів компаній здійснено17 продаж у 2 підрозділах, з них: Менеджер22 - 11, Менеджер5 - 6.
Не здійснювали продажі товару8 Кодексі Ведення Бізнесу39Головному підрозділі: Менеджер1, Менеджер2, Менеджер3, Менеджер4, Менеджер6, Менеджер7, Менеджер8, Менеджер9, Менеджер13, Менеджер14, Менеджер15, Менеджер16, Менеджер17, Менеджер18, Менеджер19, Менеджер20, Менеджер21,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За товару9 Кодексу Ведення Продажів компаній здійснено7 продаж у 2 підрозділах, з них: Менеджер3 - 6, Менеджер22 - 1.
Не здійснювали продажі товару9 Кодексі Ведення Бізнесу39Головному підрозділі: Менеджер1, Менеджер2, Менеджер4, Менеджер5, Менеджер6, Менеджер7, Менеджер8, Менеджер9, Менеджер13, Менеджер14, Менеджер15, Менеджер16, Менеджер17, Менеджер18, Менеджер19, Менеджер20, Менеджер21,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За товару10 Кодексу Ведення Продажів компаній здійснено6 продаж у 1 підрозділі, а саме в: Менеджер3 - 6.
Не здійснювали продажі товару10 Кодексі Ведення Бізнесу40Головному підрозділі: Менеджер1, Менеджер2, Менеджер4, Менеджер5, Менеджер6, Менеджер7, Менеджер8, Менеджер9, Менеджер13, Менеджер14, Менеджер15, Менеджер16, Менеджер17, Менеджер18, Менеджер19, Менеджер20, Менеджер21,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За товару11 Кодексу Ведення Продажів компаній здійснено16 продаж у 4 підрозділах, з них: Менеджер5 - 5, Менеджер4, Менеджер7 - по 4, Менеджер3 - 3.
Не здійснювали продажі товару11 Кодексі Ведення Бізнесу37Головному підрозділі: Менеджер1, Менеджер2, Менеджер6, Менеджер8, Менеджер9, Менеджер13, Менеджер14, Менеджер15, Менеджер16, Менеджер17, Менеджер18, Менеджер19, Менеджер20, Менеджер21, Менеджер22, Менеджер23, Менеджер24, Менеджер25, Менеджер26, Менеджер27, Менеджер28, Менеджер29, Менеджер30, Менеджер31, Менеджер32, Менеджер33, Менеджер34, Менеджер35, Менеджер36, Менеджер37, Менеджер38, Менеджер39, Менеджер40, Менеджер41, Менеджер42, Менеджер43 і Менеджер44.
По товару12 продажі не здійснювалися.
По товару13 продажі не здійснювалися.
По товару14 продажі не здійснювалися.
По товару15 продажі не здійснювалися.
По товару16 продажі не здійснювалися.
По товару17 продажі не здійснювалися.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</si>
</sst>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theme="1" tint="0.34998626667073579"/>
      <name val="Calibri"/>
      <family val="2"/>
      <charset val="204"/>
      <scheme val="minor"/>
    </font>
    <font>
      <sz val="11"/>
      <color theme="5" tint="-0.249977111117893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sz val="8"/>
      <color indexed="8"/>
      <name val="Times New Roman"/>
      <family val="1"/>
      <charset val="204"/>
    </font>
    <font>
      <sz val="11"/>
      <color theme="0" tint="-0.34998626667073579"/>
      <name val="Calibri"/>
      <family val="2"/>
      <charset val="204"/>
      <scheme val="minor"/>
    </font>
    <font>
      <sz val="8"/>
      <color rgb="FF800000"/>
      <name val="Times New Roman"/>
      <family val="1"/>
      <charset val="204"/>
    </font>
    <font>
      <sz val="8"/>
      <color theme="0" tint="-0.14999847407452621"/>
      <name val="Times New Roman"/>
      <family val="1"/>
      <charset val="204"/>
    </font>
    <font>
      <sz val="10"/>
      <color theme="0" tint="-0.14999847407452621"/>
      <name val="Times New Roman"/>
      <family val="1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14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4" tint="0.39991454817346722"/>
      </left>
      <right style="thin">
        <color theme="4" tint="0.39994506668294322"/>
      </right>
      <top style="medium">
        <color theme="4" tint="0.399914548173467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medium">
        <color theme="4" tint="0.39991454817346722"/>
      </top>
      <bottom style="thin">
        <color theme="4" tint="0.39994506668294322"/>
      </bottom>
      <diagonal/>
    </border>
    <border>
      <left style="thin">
        <color theme="4" tint="0.39994506668294322"/>
      </left>
      <right style="medium">
        <color theme="4" tint="0.39991454817346722"/>
      </right>
      <top style="medium">
        <color theme="4" tint="0.39991454817346722"/>
      </top>
      <bottom style="thin">
        <color theme="4" tint="0.39994506668294322"/>
      </bottom>
      <diagonal/>
    </border>
    <border>
      <left style="medium">
        <color theme="4" tint="0.399914548173467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4" tint="0.39991454817346722"/>
      </left>
      <right style="thin">
        <color theme="4" tint="0.39994506668294322"/>
      </right>
      <top style="thin">
        <color theme="4" tint="0.39994506668294322"/>
      </top>
      <bottom style="medium">
        <color theme="4" tint="0.399914548173467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medium">
        <color theme="4" tint="0.39991454817346722"/>
      </bottom>
      <diagonal/>
    </border>
    <border>
      <left style="thin">
        <color theme="4" tint="0.39994506668294322"/>
      </left>
      <right style="medium">
        <color theme="4" tint="0.39991454817346722"/>
      </right>
      <top style="thin">
        <color theme="4" tint="0.39994506668294322"/>
      </top>
      <bottom style="medium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0.39991454817346722"/>
      </left>
      <right style="thin">
        <color theme="4" tint="0.39994506668294322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2" fontId="0" fillId="0" borderId="1" xfId="0" applyNumberFormat="1" applyBorder="1"/>
    <xf numFmtId="1" fontId="0" fillId="0" borderId="5" xfId="0" applyNumberFormat="1" applyBorder="1" applyAlignment="1">
      <alignment horizontal="center"/>
    </xf>
    <xf numFmtId="2" fontId="0" fillId="2" borderId="6" xfId="0" applyNumberFormat="1" applyFill="1" applyBorder="1"/>
    <xf numFmtId="2" fontId="0" fillId="2" borderId="7" xfId="0" applyNumberFormat="1" applyFill="1" applyBorder="1"/>
    <xf numFmtId="1" fontId="0" fillId="2" borderId="7" xfId="0" applyNumberForma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2" fontId="0" fillId="2" borderId="2" xfId="0" applyNumberFormat="1" applyFill="1" applyBorder="1"/>
    <xf numFmtId="2" fontId="0" fillId="2" borderId="3" xfId="0" applyNumberFormat="1" applyFill="1" applyBorder="1"/>
    <xf numFmtId="2" fontId="0" fillId="2" borderId="5" xfId="0" applyNumberFormat="1" applyFill="1" applyBorder="1"/>
    <xf numFmtId="2" fontId="0" fillId="2" borderId="1" xfId="0" applyNumberFormat="1" applyFill="1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0" fillId="5" borderId="0" xfId="0" applyFill="1"/>
    <xf numFmtId="0" fontId="0" fillId="6" borderId="0" xfId="0" applyFill="1"/>
    <xf numFmtId="0" fontId="12" fillId="0" borderId="0" xfId="0" applyFont="1" applyAlignment="1">
      <alignment vertical="center"/>
    </xf>
    <xf numFmtId="0" fontId="11" fillId="0" borderId="9" xfId="0" applyFont="1" applyFill="1" applyBorder="1" applyAlignment="1">
      <alignment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vertical="center" wrapText="1"/>
    </xf>
    <xf numFmtId="0" fontId="11" fillId="8" borderId="9" xfId="0" applyFont="1" applyFill="1" applyBorder="1" applyAlignment="1">
      <alignment horizontal="right" vertical="center"/>
    </xf>
    <xf numFmtId="0" fontId="12" fillId="0" borderId="0" xfId="0" applyFont="1"/>
    <xf numFmtId="2" fontId="9" fillId="2" borderId="0" xfId="0" applyNumberFormat="1" applyFont="1" applyFill="1" applyBorder="1" applyAlignment="1">
      <alignment horizontal="center"/>
    </xf>
    <xf numFmtId="2" fontId="0" fillId="2" borderId="1" xfId="0" applyNumberFormat="1" applyFill="1" applyBorder="1" applyAlignment="1">
      <alignment horizontal="center" vertical="center" wrapText="1"/>
    </xf>
    <xf numFmtId="1" fontId="0" fillId="9" borderId="1" xfId="0" applyNumberFormat="1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" fontId="10" fillId="10" borderId="1" xfId="0" applyNumberFormat="1" applyFont="1" applyFill="1" applyBorder="1" applyAlignment="1">
      <alignment horizontal="center" vertical="center"/>
    </xf>
    <xf numFmtId="1" fontId="10" fillId="9" borderId="1" xfId="0" applyNumberFormat="1" applyFont="1" applyFill="1" applyBorder="1" applyAlignment="1">
      <alignment horizontal="center" vertical="center"/>
    </xf>
    <xf numFmtId="1" fontId="10" fillId="7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center" wrapText="1"/>
    </xf>
    <xf numFmtId="2" fontId="9" fillId="2" borderId="3" xfId="0" applyNumberFormat="1" applyFont="1" applyFill="1" applyBorder="1" applyAlignment="1"/>
    <xf numFmtId="2" fontId="9" fillId="2" borderId="4" xfId="0" applyNumberFormat="1" applyFont="1" applyFill="1" applyBorder="1" applyAlignment="1"/>
    <xf numFmtId="2" fontId="0" fillId="11" borderId="3" xfId="0" applyNumberFormat="1" applyFill="1" applyBorder="1"/>
    <xf numFmtId="1" fontId="0" fillId="0" borderId="13" xfId="0" applyNumberFormat="1" applyFill="1" applyBorder="1" applyAlignment="1">
      <alignment horizontal="center"/>
    </xf>
    <xf numFmtId="0" fontId="0" fillId="8" borderId="0" xfId="0" applyFill="1"/>
    <xf numFmtId="0" fontId="0" fillId="0" borderId="0" xfId="0" applyAlignment="1">
      <alignment horizontal="center"/>
    </xf>
    <xf numFmtId="0" fontId="16" fillId="0" borderId="0" xfId="0" applyFont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2" fillId="13" borderId="0" xfId="0" applyFont="1" applyFill="1"/>
    <xf numFmtId="0" fontId="3" fillId="13" borderId="0" xfId="0" applyFont="1" applyFill="1"/>
    <xf numFmtId="0" fontId="4" fillId="13" borderId="0" xfId="0" applyFont="1" applyFill="1"/>
    <xf numFmtId="0" fontId="1" fillId="13" borderId="0" xfId="0" applyFont="1" applyFill="1"/>
    <xf numFmtId="0" fontId="5" fillId="13" borderId="0" xfId="0" applyFont="1" applyFill="1"/>
    <xf numFmtId="0" fontId="6" fillId="13" borderId="0" xfId="0" applyFont="1" applyFill="1"/>
    <xf numFmtId="0" fontId="7" fillId="13" borderId="0" xfId="0" applyFont="1" applyFill="1"/>
    <xf numFmtId="0" fontId="8" fillId="13" borderId="0" xfId="0" applyFont="1" applyFill="1"/>
    <xf numFmtId="0" fontId="11" fillId="14" borderId="9" xfId="0" applyFont="1" applyFill="1" applyBorder="1" applyAlignment="1">
      <alignment horizontal="right" vertical="center"/>
    </xf>
    <xf numFmtId="0" fontId="15" fillId="14" borderId="9" xfId="0" applyFont="1" applyFill="1" applyBorder="1" applyAlignment="1">
      <alignment horizontal="right" vertical="center"/>
    </xf>
    <xf numFmtId="0" fontId="15" fillId="14" borderId="9" xfId="0" applyFont="1" applyFill="1" applyBorder="1" applyAlignment="1">
      <alignment horizontal="right"/>
    </xf>
    <xf numFmtId="0" fontId="11" fillId="14" borderId="9" xfId="0" applyFont="1" applyFill="1" applyBorder="1" applyAlignment="1">
      <alignment horizontal="right"/>
    </xf>
    <xf numFmtId="0" fontId="0" fillId="12" borderId="0" xfId="0" applyFill="1" applyAlignment="1"/>
    <xf numFmtId="0" fontId="12" fillId="12" borderId="0" xfId="0" applyFont="1" applyFill="1" applyAlignment="1">
      <alignment vertical="center"/>
    </xf>
    <xf numFmtId="0" fontId="12" fillId="12" borderId="0" xfId="0" applyFont="1" applyFill="1"/>
    <xf numFmtId="0" fontId="17" fillId="0" borderId="9" xfId="0" applyFont="1" applyFill="1" applyBorder="1" applyAlignment="1">
      <alignment horizontal="center" vertical="center" wrapText="1"/>
    </xf>
    <xf numFmtId="0" fontId="18" fillId="12" borderId="0" xfId="0" applyFont="1" applyFill="1" applyAlignment="1">
      <alignment vertical="center" wrapText="1"/>
    </xf>
    <xf numFmtId="0" fontId="19" fillId="12" borderId="0" xfId="0" applyFont="1" applyFill="1" applyAlignment="1">
      <alignment vertical="center"/>
    </xf>
    <xf numFmtId="0" fontId="19" fillId="12" borderId="0" xfId="0" applyFont="1" applyFill="1"/>
    <xf numFmtId="0" fontId="14" fillId="0" borderId="9" xfId="0" applyFont="1" applyFill="1" applyBorder="1" applyAlignment="1">
      <alignment horizontal="left"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1" fillId="0" borderId="12" xfId="0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800000"/>
      <color rgb="FFFFFFCC"/>
      <color rgb="FF66FF33"/>
      <color rgb="FF9966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153826</xdr:colOff>
      <xdr:row>0</xdr:row>
      <xdr:rowOff>128186</xdr:rowOff>
    </xdr:from>
    <xdr:to>
      <xdr:col>20</xdr:col>
      <xdr:colOff>8547</xdr:colOff>
      <xdr:row>1</xdr:row>
      <xdr:rowOff>170916</xdr:rowOff>
    </xdr:to>
    <xdr:sp macro="[0]!Macro2" textlink="">
      <xdr:nvSpPr>
        <xdr:cNvPr id="2" name="Rounded Rectangle 1"/>
        <xdr:cNvSpPr/>
      </xdr:nvSpPr>
      <xdr:spPr>
        <a:xfrm>
          <a:off x="4956562" y="128186"/>
          <a:ext cx="1230594" cy="25637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solidFill>
                <a:srgbClr val="FFFF00"/>
              </a:solidFill>
            </a:rPr>
            <a:t>Clear</a:t>
          </a:r>
          <a:endParaRPr lang="ru-RU" sz="1400" b="1" i="1">
            <a:solidFill>
              <a:srgbClr val="FFFF00"/>
            </a:solidFill>
          </a:endParaRPr>
        </a:p>
      </xdr:txBody>
    </xdr:sp>
    <xdr:clientData/>
  </xdr:twoCellAnchor>
  <xdr:twoCellAnchor>
    <xdr:from>
      <xdr:col>21</xdr:col>
      <xdr:colOff>230737</xdr:colOff>
      <xdr:row>0</xdr:row>
      <xdr:rowOff>76912</xdr:rowOff>
    </xdr:from>
    <xdr:to>
      <xdr:col>22</xdr:col>
      <xdr:colOff>1939895</xdr:colOff>
      <xdr:row>2</xdr:row>
      <xdr:rowOff>102549</xdr:rowOff>
    </xdr:to>
    <xdr:sp macro="[0]!Macro1" textlink="">
      <xdr:nvSpPr>
        <xdr:cNvPr id="3" name="Rounded Rectangle 2"/>
        <xdr:cNvSpPr/>
      </xdr:nvSpPr>
      <xdr:spPr>
        <a:xfrm>
          <a:off x="6751178" y="76912"/>
          <a:ext cx="1956986" cy="4529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1">
              <a:solidFill>
                <a:srgbClr val="FFFF00"/>
              </a:solidFill>
            </a:rPr>
            <a:t>Start!</a:t>
          </a:r>
          <a:endParaRPr lang="ru-RU" sz="1800" b="1" i="1">
            <a:solidFill>
              <a:srgbClr val="FFFF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97"/>
  <sheetViews>
    <sheetView showZeros="0" tabSelected="1" zoomScaleNormal="100" workbookViewId="0">
      <selection activeCell="C6" sqref="C6"/>
    </sheetView>
  </sheetViews>
  <sheetFormatPr defaultRowHeight="14.15" x14ac:dyDescent="0.25"/>
  <cols>
    <col min="1" max="1" width="5.25" customWidth="1"/>
    <col min="2" max="2" width="30.25" customWidth="1"/>
    <col min="3" max="3" width="5.125" customWidth="1"/>
    <col min="4" max="7" width="2.875" customWidth="1"/>
    <col min="8" max="8" width="3.75" customWidth="1"/>
    <col min="9" max="20" width="2.875" customWidth="1"/>
    <col min="21" max="21" width="5" customWidth="1"/>
    <col min="22" max="22" width="3.625" customWidth="1"/>
    <col min="23" max="23" width="31.75" customWidth="1"/>
    <col min="24" max="38" width="3.625" customWidth="1"/>
    <col min="257" max="257" width="5.25" customWidth="1"/>
    <col min="258" max="258" width="30.25" customWidth="1"/>
    <col min="259" max="259" width="5.125" customWidth="1"/>
    <col min="260" max="263" width="2.875" customWidth="1"/>
    <col min="264" max="264" width="3.75" customWidth="1"/>
    <col min="265" max="276" width="2.875" customWidth="1"/>
    <col min="277" max="277" width="5" customWidth="1"/>
    <col min="278" max="278" width="3.625" customWidth="1"/>
    <col min="279" max="279" width="31.75" customWidth="1"/>
    <col min="280" max="294" width="3.625" customWidth="1"/>
    <col min="513" max="513" width="5.25" customWidth="1"/>
    <col min="514" max="514" width="30.25" customWidth="1"/>
    <col min="515" max="515" width="5.125" customWidth="1"/>
    <col min="516" max="519" width="2.875" customWidth="1"/>
    <col min="520" max="520" width="3.75" customWidth="1"/>
    <col min="521" max="532" width="2.875" customWidth="1"/>
    <col min="533" max="533" width="5" customWidth="1"/>
    <col min="534" max="534" width="3.625" customWidth="1"/>
    <col min="535" max="535" width="31.75" customWidth="1"/>
    <col min="536" max="550" width="3.625" customWidth="1"/>
    <col min="769" max="769" width="5.25" customWidth="1"/>
    <col min="770" max="770" width="30.25" customWidth="1"/>
    <col min="771" max="771" width="5.125" customWidth="1"/>
    <col min="772" max="775" width="2.875" customWidth="1"/>
    <col min="776" max="776" width="3.75" customWidth="1"/>
    <col min="777" max="788" width="2.875" customWidth="1"/>
    <col min="789" max="789" width="5" customWidth="1"/>
    <col min="790" max="790" width="3.625" customWidth="1"/>
    <col min="791" max="791" width="31.75" customWidth="1"/>
    <col min="792" max="806" width="3.625" customWidth="1"/>
    <col min="1025" max="1025" width="5.25" customWidth="1"/>
    <col min="1026" max="1026" width="30.25" customWidth="1"/>
    <col min="1027" max="1027" width="5.125" customWidth="1"/>
    <col min="1028" max="1031" width="2.875" customWidth="1"/>
    <col min="1032" max="1032" width="3.75" customWidth="1"/>
    <col min="1033" max="1044" width="2.875" customWidth="1"/>
    <col min="1045" max="1045" width="5" customWidth="1"/>
    <col min="1046" max="1046" width="3.625" customWidth="1"/>
    <col min="1047" max="1047" width="31.75" customWidth="1"/>
    <col min="1048" max="1062" width="3.625" customWidth="1"/>
    <col min="1281" max="1281" width="5.25" customWidth="1"/>
    <col min="1282" max="1282" width="30.25" customWidth="1"/>
    <col min="1283" max="1283" width="5.125" customWidth="1"/>
    <col min="1284" max="1287" width="2.875" customWidth="1"/>
    <col min="1288" max="1288" width="3.75" customWidth="1"/>
    <col min="1289" max="1300" width="2.875" customWidth="1"/>
    <col min="1301" max="1301" width="5" customWidth="1"/>
    <col min="1302" max="1302" width="3.625" customWidth="1"/>
    <col min="1303" max="1303" width="31.75" customWidth="1"/>
    <col min="1304" max="1318" width="3.625" customWidth="1"/>
    <col min="1537" max="1537" width="5.25" customWidth="1"/>
    <col min="1538" max="1538" width="30.25" customWidth="1"/>
    <col min="1539" max="1539" width="5.125" customWidth="1"/>
    <col min="1540" max="1543" width="2.875" customWidth="1"/>
    <col min="1544" max="1544" width="3.75" customWidth="1"/>
    <col min="1545" max="1556" width="2.875" customWidth="1"/>
    <col min="1557" max="1557" width="5" customWidth="1"/>
    <col min="1558" max="1558" width="3.625" customWidth="1"/>
    <col min="1559" max="1559" width="31.75" customWidth="1"/>
    <col min="1560" max="1574" width="3.625" customWidth="1"/>
    <col min="1793" max="1793" width="5.25" customWidth="1"/>
    <col min="1794" max="1794" width="30.25" customWidth="1"/>
    <col min="1795" max="1795" width="5.125" customWidth="1"/>
    <col min="1796" max="1799" width="2.875" customWidth="1"/>
    <col min="1800" max="1800" width="3.75" customWidth="1"/>
    <col min="1801" max="1812" width="2.875" customWidth="1"/>
    <col min="1813" max="1813" width="5" customWidth="1"/>
    <col min="1814" max="1814" width="3.625" customWidth="1"/>
    <col min="1815" max="1815" width="31.75" customWidth="1"/>
    <col min="1816" max="1830" width="3.625" customWidth="1"/>
    <col min="2049" max="2049" width="5.25" customWidth="1"/>
    <col min="2050" max="2050" width="30.25" customWidth="1"/>
    <col min="2051" max="2051" width="5.125" customWidth="1"/>
    <col min="2052" max="2055" width="2.875" customWidth="1"/>
    <col min="2056" max="2056" width="3.75" customWidth="1"/>
    <col min="2057" max="2068" width="2.875" customWidth="1"/>
    <col min="2069" max="2069" width="5" customWidth="1"/>
    <col min="2070" max="2070" width="3.625" customWidth="1"/>
    <col min="2071" max="2071" width="31.75" customWidth="1"/>
    <col min="2072" max="2086" width="3.625" customWidth="1"/>
    <col min="2305" max="2305" width="5.25" customWidth="1"/>
    <col min="2306" max="2306" width="30.25" customWidth="1"/>
    <col min="2307" max="2307" width="5.125" customWidth="1"/>
    <col min="2308" max="2311" width="2.875" customWidth="1"/>
    <col min="2312" max="2312" width="3.75" customWidth="1"/>
    <col min="2313" max="2324" width="2.875" customWidth="1"/>
    <col min="2325" max="2325" width="5" customWidth="1"/>
    <col min="2326" max="2326" width="3.625" customWidth="1"/>
    <col min="2327" max="2327" width="31.75" customWidth="1"/>
    <col min="2328" max="2342" width="3.625" customWidth="1"/>
    <col min="2561" max="2561" width="5.25" customWidth="1"/>
    <col min="2562" max="2562" width="30.25" customWidth="1"/>
    <col min="2563" max="2563" width="5.125" customWidth="1"/>
    <col min="2564" max="2567" width="2.875" customWidth="1"/>
    <col min="2568" max="2568" width="3.75" customWidth="1"/>
    <col min="2569" max="2580" width="2.875" customWidth="1"/>
    <col min="2581" max="2581" width="5" customWidth="1"/>
    <col min="2582" max="2582" width="3.625" customWidth="1"/>
    <col min="2583" max="2583" width="31.75" customWidth="1"/>
    <col min="2584" max="2598" width="3.625" customWidth="1"/>
    <col min="2817" max="2817" width="5.25" customWidth="1"/>
    <col min="2818" max="2818" width="30.25" customWidth="1"/>
    <col min="2819" max="2819" width="5.125" customWidth="1"/>
    <col min="2820" max="2823" width="2.875" customWidth="1"/>
    <col min="2824" max="2824" width="3.75" customWidth="1"/>
    <col min="2825" max="2836" width="2.875" customWidth="1"/>
    <col min="2837" max="2837" width="5" customWidth="1"/>
    <col min="2838" max="2838" width="3.625" customWidth="1"/>
    <col min="2839" max="2839" width="31.75" customWidth="1"/>
    <col min="2840" max="2854" width="3.625" customWidth="1"/>
    <col min="3073" max="3073" width="5.25" customWidth="1"/>
    <col min="3074" max="3074" width="30.25" customWidth="1"/>
    <col min="3075" max="3075" width="5.125" customWidth="1"/>
    <col min="3076" max="3079" width="2.875" customWidth="1"/>
    <col min="3080" max="3080" width="3.75" customWidth="1"/>
    <col min="3081" max="3092" width="2.875" customWidth="1"/>
    <col min="3093" max="3093" width="5" customWidth="1"/>
    <col min="3094" max="3094" width="3.625" customWidth="1"/>
    <col min="3095" max="3095" width="31.75" customWidth="1"/>
    <col min="3096" max="3110" width="3.625" customWidth="1"/>
    <col min="3329" max="3329" width="5.25" customWidth="1"/>
    <col min="3330" max="3330" width="30.25" customWidth="1"/>
    <col min="3331" max="3331" width="5.125" customWidth="1"/>
    <col min="3332" max="3335" width="2.875" customWidth="1"/>
    <col min="3336" max="3336" width="3.75" customWidth="1"/>
    <col min="3337" max="3348" width="2.875" customWidth="1"/>
    <col min="3349" max="3349" width="5" customWidth="1"/>
    <col min="3350" max="3350" width="3.625" customWidth="1"/>
    <col min="3351" max="3351" width="31.75" customWidth="1"/>
    <col min="3352" max="3366" width="3.625" customWidth="1"/>
    <col min="3585" max="3585" width="5.25" customWidth="1"/>
    <col min="3586" max="3586" width="30.25" customWidth="1"/>
    <col min="3587" max="3587" width="5.125" customWidth="1"/>
    <col min="3588" max="3591" width="2.875" customWidth="1"/>
    <col min="3592" max="3592" width="3.75" customWidth="1"/>
    <col min="3593" max="3604" width="2.875" customWidth="1"/>
    <col min="3605" max="3605" width="5" customWidth="1"/>
    <col min="3606" max="3606" width="3.625" customWidth="1"/>
    <col min="3607" max="3607" width="31.75" customWidth="1"/>
    <col min="3608" max="3622" width="3.625" customWidth="1"/>
    <col min="3841" max="3841" width="5.25" customWidth="1"/>
    <col min="3842" max="3842" width="30.25" customWidth="1"/>
    <col min="3843" max="3843" width="5.125" customWidth="1"/>
    <col min="3844" max="3847" width="2.875" customWidth="1"/>
    <col min="3848" max="3848" width="3.75" customWidth="1"/>
    <col min="3849" max="3860" width="2.875" customWidth="1"/>
    <col min="3861" max="3861" width="5" customWidth="1"/>
    <col min="3862" max="3862" width="3.625" customWidth="1"/>
    <col min="3863" max="3863" width="31.75" customWidth="1"/>
    <col min="3864" max="3878" width="3.625" customWidth="1"/>
    <col min="4097" max="4097" width="5.25" customWidth="1"/>
    <col min="4098" max="4098" width="30.25" customWidth="1"/>
    <col min="4099" max="4099" width="5.125" customWidth="1"/>
    <col min="4100" max="4103" width="2.875" customWidth="1"/>
    <col min="4104" max="4104" width="3.75" customWidth="1"/>
    <col min="4105" max="4116" width="2.875" customWidth="1"/>
    <col min="4117" max="4117" width="5" customWidth="1"/>
    <col min="4118" max="4118" width="3.625" customWidth="1"/>
    <col min="4119" max="4119" width="31.75" customWidth="1"/>
    <col min="4120" max="4134" width="3.625" customWidth="1"/>
    <col min="4353" max="4353" width="5.25" customWidth="1"/>
    <col min="4354" max="4354" width="30.25" customWidth="1"/>
    <col min="4355" max="4355" width="5.125" customWidth="1"/>
    <col min="4356" max="4359" width="2.875" customWidth="1"/>
    <col min="4360" max="4360" width="3.75" customWidth="1"/>
    <col min="4361" max="4372" width="2.875" customWidth="1"/>
    <col min="4373" max="4373" width="5" customWidth="1"/>
    <col min="4374" max="4374" width="3.625" customWidth="1"/>
    <col min="4375" max="4375" width="31.75" customWidth="1"/>
    <col min="4376" max="4390" width="3.625" customWidth="1"/>
    <col min="4609" max="4609" width="5.25" customWidth="1"/>
    <col min="4610" max="4610" width="30.25" customWidth="1"/>
    <col min="4611" max="4611" width="5.125" customWidth="1"/>
    <col min="4612" max="4615" width="2.875" customWidth="1"/>
    <col min="4616" max="4616" width="3.75" customWidth="1"/>
    <col min="4617" max="4628" width="2.875" customWidth="1"/>
    <col min="4629" max="4629" width="5" customWidth="1"/>
    <col min="4630" max="4630" width="3.625" customWidth="1"/>
    <col min="4631" max="4631" width="31.75" customWidth="1"/>
    <col min="4632" max="4646" width="3.625" customWidth="1"/>
    <col min="4865" max="4865" width="5.25" customWidth="1"/>
    <col min="4866" max="4866" width="30.25" customWidth="1"/>
    <col min="4867" max="4867" width="5.125" customWidth="1"/>
    <col min="4868" max="4871" width="2.875" customWidth="1"/>
    <col min="4872" max="4872" width="3.75" customWidth="1"/>
    <col min="4873" max="4884" width="2.875" customWidth="1"/>
    <col min="4885" max="4885" width="5" customWidth="1"/>
    <col min="4886" max="4886" width="3.625" customWidth="1"/>
    <col min="4887" max="4887" width="31.75" customWidth="1"/>
    <col min="4888" max="4902" width="3.625" customWidth="1"/>
    <col min="5121" max="5121" width="5.25" customWidth="1"/>
    <col min="5122" max="5122" width="30.25" customWidth="1"/>
    <col min="5123" max="5123" width="5.125" customWidth="1"/>
    <col min="5124" max="5127" width="2.875" customWidth="1"/>
    <col min="5128" max="5128" width="3.75" customWidth="1"/>
    <col min="5129" max="5140" width="2.875" customWidth="1"/>
    <col min="5141" max="5141" width="5" customWidth="1"/>
    <col min="5142" max="5142" width="3.625" customWidth="1"/>
    <col min="5143" max="5143" width="31.75" customWidth="1"/>
    <col min="5144" max="5158" width="3.625" customWidth="1"/>
    <col min="5377" max="5377" width="5.25" customWidth="1"/>
    <col min="5378" max="5378" width="30.25" customWidth="1"/>
    <col min="5379" max="5379" width="5.125" customWidth="1"/>
    <col min="5380" max="5383" width="2.875" customWidth="1"/>
    <col min="5384" max="5384" width="3.75" customWidth="1"/>
    <col min="5385" max="5396" width="2.875" customWidth="1"/>
    <col min="5397" max="5397" width="5" customWidth="1"/>
    <col min="5398" max="5398" width="3.625" customWidth="1"/>
    <col min="5399" max="5399" width="31.75" customWidth="1"/>
    <col min="5400" max="5414" width="3.625" customWidth="1"/>
    <col min="5633" max="5633" width="5.25" customWidth="1"/>
    <col min="5634" max="5634" width="30.25" customWidth="1"/>
    <col min="5635" max="5635" width="5.125" customWidth="1"/>
    <col min="5636" max="5639" width="2.875" customWidth="1"/>
    <col min="5640" max="5640" width="3.75" customWidth="1"/>
    <col min="5641" max="5652" width="2.875" customWidth="1"/>
    <col min="5653" max="5653" width="5" customWidth="1"/>
    <col min="5654" max="5654" width="3.625" customWidth="1"/>
    <col min="5655" max="5655" width="31.75" customWidth="1"/>
    <col min="5656" max="5670" width="3.625" customWidth="1"/>
    <col min="5889" max="5889" width="5.25" customWidth="1"/>
    <col min="5890" max="5890" width="30.25" customWidth="1"/>
    <col min="5891" max="5891" width="5.125" customWidth="1"/>
    <col min="5892" max="5895" width="2.875" customWidth="1"/>
    <col min="5896" max="5896" width="3.75" customWidth="1"/>
    <col min="5897" max="5908" width="2.875" customWidth="1"/>
    <col min="5909" max="5909" width="5" customWidth="1"/>
    <col min="5910" max="5910" width="3.625" customWidth="1"/>
    <col min="5911" max="5911" width="31.75" customWidth="1"/>
    <col min="5912" max="5926" width="3.625" customWidth="1"/>
    <col min="6145" max="6145" width="5.25" customWidth="1"/>
    <col min="6146" max="6146" width="30.25" customWidth="1"/>
    <col min="6147" max="6147" width="5.125" customWidth="1"/>
    <col min="6148" max="6151" width="2.875" customWidth="1"/>
    <col min="6152" max="6152" width="3.75" customWidth="1"/>
    <col min="6153" max="6164" width="2.875" customWidth="1"/>
    <col min="6165" max="6165" width="5" customWidth="1"/>
    <col min="6166" max="6166" width="3.625" customWidth="1"/>
    <col min="6167" max="6167" width="31.75" customWidth="1"/>
    <col min="6168" max="6182" width="3.625" customWidth="1"/>
    <col min="6401" max="6401" width="5.25" customWidth="1"/>
    <col min="6402" max="6402" width="30.25" customWidth="1"/>
    <col min="6403" max="6403" width="5.125" customWidth="1"/>
    <col min="6404" max="6407" width="2.875" customWidth="1"/>
    <col min="6408" max="6408" width="3.75" customWidth="1"/>
    <col min="6409" max="6420" width="2.875" customWidth="1"/>
    <col min="6421" max="6421" width="5" customWidth="1"/>
    <col min="6422" max="6422" width="3.625" customWidth="1"/>
    <col min="6423" max="6423" width="31.75" customWidth="1"/>
    <col min="6424" max="6438" width="3.625" customWidth="1"/>
    <col min="6657" max="6657" width="5.25" customWidth="1"/>
    <col min="6658" max="6658" width="30.25" customWidth="1"/>
    <col min="6659" max="6659" width="5.125" customWidth="1"/>
    <col min="6660" max="6663" width="2.875" customWidth="1"/>
    <col min="6664" max="6664" width="3.75" customWidth="1"/>
    <col min="6665" max="6676" width="2.875" customWidth="1"/>
    <col min="6677" max="6677" width="5" customWidth="1"/>
    <col min="6678" max="6678" width="3.625" customWidth="1"/>
    <col min="6679" max="6679" width="31.75" customWidth="1"/>
    <col min="6680" max="6694" width="3.625" customWidth="1"/>
    <col min="6913" max="6913" width="5.25" customWidth="1"/>
    <col min="6914" max="6914" width="30.25" customWidth="1"/>
    <col min="6915" max="6915" width="5.125" customWidth="1"/>
    <col min="6916" max="6919" width="2.875" customWidth="1"/>
    <col min="6920" max="6920" width="3.75" customWidth="1"/>
    <col min="6921" max="6932" width="2.875" customWidth="1"/>
    <col min="6933" max="6933" width="5" customWidth="1"/>
    <col min="6934" max="6934" width="3.625" customWidth="1"/>
    <col min="6935" max="6935" width="31.75" customWidth="1"/>
    <col min="6936" max="6950" width="3.625" customWidth="1"/>
    <col min="7169" max="7169" width="5.25" customWidth="1"/>
    <col min="7170" max="7170" width="30.25" customWidth="1"/>
    <col min="7171" max="7171" width="5.125" customWidth="1"/>
    <col min="7172" max="7175" width="2.875" customWidth="1"/>
    <col min="7176" max="7176" width="3.75" customWidth="1"/>
    <col min="7177" max="7188" width="2.875" customWidth="1"/>
    <col min="7189" max="7189" width="5" customWidth="1"/>
    <col min="7190" max="7190" width="3.625" customWidth="1"/>
    <col min="7191" max="7191" width="31.75" customWidth="1"/>
    <col min="7192" max="7206" width="3.625" customWidth="1"/>
    <col min="7425" max="7425" width="5.25" customWidth="1"/>
    <col min="7426" max="7426" width="30.25" customWidth="1"/>
    <col min="7427" max="7427" width="5.125" customWidth="1"/>
    <col min="7428" max="7431" width="2.875" customWidth="1"/>
    <col min="7432" max="7432" width="3.75" customWidth="1"/>
    <col min="7433" max="7444" width="2.875" customWidth="1"/>
    <col min="7445" max="7445" width="5" customWidth="1"/>
    <col min="7446" max="7446" width="3.625" customWidth="1"/>
    <col min="7447" max="7447" width="31.75" customWidth="1"/>
    <col min="7448" max="7462" width="3.625" customWidth="1"/>
    <col min="7681" max="7681" width="5.25" customWidth="1"/>
    <col min="7682" max="7682" width="30.25" customWidth="1"/>
    <col min="7683" max="7683" width="5.125" customWidth="1"/>
    <col min="7684" max="7687" width="2.875" customWidth="1"/>
    <col min="7688" max="7688" width="3.75" customWidth="1"/>
    <col min="7689" max="7700" width="2.875" customWidth="1"/>
    <col min="7701" max="7701" width="5" customWidth="1"/>
    <col min="7702" max="7702" width="3.625" customWidth="1"/>
    <col min="7703" max="7703" width="31.75" customWidth="1"/>
    <col min="7704" max="7718" width="3.625" customWidth="1"/>
    <col min="7937" max="7937" width="5.25" customWidth="1"/>
    <col min="7938" max="7938" width="30.25" customWidth="1"/>
    <col min="7939" max="7939" width="5.125" customWidth="1"/>
    <col min="7940" max="7943" width="2.875" customWidth="1"/>
    <col min="7944" max="7944" width="3.75" customWidth="1"/>
    <col min="7945" max="7956" width="2.875" customWidth="1"/>
    <col min="7957" max="7957" width="5" customWidth="1"/>
    <col min="7958" max="7958" width="3.625" customWidth="1"/>
    <col min="7959" max="7959" width="31.75" customWidth="1"/>
    <col min="7960" max="7974" width="3.625" customWidth="1"/>
    <col min="8193" max="8193" width="5.25" customWidth="1"/>
    <col min="8194" max="8194" width="30.25" customWidth="1"/>
    <col min="8195" max="8195" width="5.125" customWidth="1"/>
    <col min="8196" max="8199" width="2.875" customWidth="1"/>
    <col min="8200" max="8200" width="3.75" customWidth="1"/>
    <col min="8201" max="8212" width="2.875" customWidth="1"/>
    <col min="8213" max="8213" width="5" customWidth="1"/>
    <col min="8214" max="8214" width="3.625" customWidth="1"/>
    <col min="8215" max="8215" width="31.75" customWidth="1"/>
    <col min="8216" max="8230" width="3.625" customWidth="1"/>
    <col min="8449" max="8449" width="5.25" customWidth="1"/>
    <col min="8450" max="8450" width="30.25" customWidth="1"/>
    <col min="8451" max="8451" width="5.125" customWidth="1"/>
    <col min="8452" max="8455" width="2.875" customWidth="1"/>
    <col min="8456" max="8456" width="3.75" customWidth="1"/>
    <col min="8457" max="8468" width="2.875" customWidth="1"/>
    <col min="8469" max="8469" width="5" customWidth="1"/>
    <col min="8470" max="8470" width="3.625" customWidth="1"/>
    <col min="8471" max="8471" width="31.75" customWidth="1"/>
    <col min="8472" max="8486" width="3.625" customWidth="1"/>
    <col min="8705" max="8705" width="5.25" customWidth="1"/>
    <col min="8706" max="8706" width="30.25" customWidth="1"/>
    <col min="8707" max="8707" width="5.125" customWidth="1"/>
    <col min="8708" max="8711" width="2.875" customWidth="1"/>
    <col min="8712" max="8712" width="3.75" customWidth="1"/>
    <col min="8713" max="8724" width="2.875" customWidth="1"/>
    <col min="8725" max="8725" width="5" customWidth="1"/>
    <col min="8726" max="8726" width="3.625" customWidth="1"/>
    <col min="8727" max="8727" width="31.75" customWidth="1"/>
    <col min="8728" max="8742" width="3.625" customWidth="1"/>
    <col min="8961" max="8961" width="5.25" customWidth="1"/>
    <col min="8962" max="8962" width="30.25" customWidth="1"/>
    <col min="8963" max="8963" width="5.125" customWidth="1"/>
    <col min="8964" max="8967" width="2.875" customWidth="1"/>
    <col min="8968" max="8968" width="3.75" customWidth="1"/>
    <col min="8969" max="8980" width="2.875" customWidth="1"/>
    <col min="8981" max="8981" width="5" customWidth="1"/>
    <col min="8982" max="8982" width="3.625" customWidth="1"/>
    <col min="8983" max="8983" width="31.75" customWidth="1"/>
    <col min="8984" max="8998" width="3.625" customWidth="1"/>
    <col min="9217" max="9217" width="5.25" customWidth="1"/>
    <col min="9218" max="9218" width="30.25" customWidth="1"/>
    <col min="9219" max="9219" width="5.125" customWidth="1"/>
    <col min="9220" max="9223" width="2.875" customWidth="1"/>
    <col min="9224" max="9224" width="3.75" customWidth="1"/>
    <col min="9225" max="9236" width="2.875" customWidth="1"/>
    <col min="9237" max="9237" width="5" customWidth="1"/>
    <col min="9238" max="9238" width="3.625" customWidth="1"/>
    <col min="9239" max="9239" width="31.75" customWidth="1"/>
    <col min="9240" max="9254" width="3.625" customWidth="1"/>
    <col min="9473" max="9473" width="5.25" customWidth="1"/>
    <col min="9474" max="9474" width="30.25" customWidth="1"/>
    <col min="9475" max="9475" width="5.125" customWidth="1"/>
    <col min="9476" max="9479" width="2.875" customWidth="1"/>
    <col min="9480" max="9480" width="3.75" customWidth="1"/>
    <col min="9481" max="9492" width="2.875" customWidth="1"/>
    <col min="9493" max="9493" width="5" customWidth="1"/>
    <col min="9494" max="9494" width="3.625" customWidth="1"/>
    <col min="9495" max="9495" width="31.75" customWidth="1"/>
    <col min="9496" max="9510" width="3.625" customWidth="1"/>
    <col min="9729" max="9729" width="5.25" customWidth="1"/>
    <col min="9730" max="9730" width="30.25" customWidth="1"/>
    <col min="9731" max="9731" width="5.125" customWidth="1"/>
    <col min="9732" max="9735" width="2.875" customWidth="1"/>
    <col min="9736" max="9736" width="3.75" customWidth="1"/>
    <col min="9737" max="9748" width="2.875" customWidth="1"/>
    <col min="9749" max="9749" width="5" customWidth="1"/>
    <col min="9750" max="9750" width="3.625" customWidth="1"/>
    <col min="9751" max="9751" width="31.75" customWidth="1"/>
    <col min="9752" max="9766" width="3.625" customWidth="1"/>
    <col min="9985" max="9985" width="5.25" customWidth="1"/>
    <col min="9986" max="9986" width="30.25" customWidth="1"/>
    <col min="9987" max="9987" width="5.125" customWidth="1"/>
    <col min="9988" max="9991" width="2.875" customWidth="1"/>
    <col min="9992" max="9992" width="3.75" customWidth="1"/>
    <col min="9993" max="10004" width="2.875" customWidth="1"/>
    <col min="10005" max="10005" width="5" customWidth="1"/>
    <col min="10006" max="10006" width="3.625" customWidth="1"/>
    <col min="10007" max="10007" width="31.75" customWidth="1"/>
    <col min="10008" max="10022" width="3.625" customWidth="1"/>
    <col min="10241" max="10241" width="5.25" customWidth="1"/>
    <col min="10242" max="10242" width="30.25" customWidth="1"/>
    <col min="10243" max="10243" width="5.125" customWidth="1"/>
    <col min="10244" max="10247" width="2.875" customWidth="1"/>
    <col min="10248" max="10248" width="3.75" customWidth="1"/>
    <col min="10249" max="10260" width="2.875" customWidth="1"/>
    <col min="10261" max="10261" width="5" customWidth="1"/>
    <col min="10262" max="10262" width="3.625" customWidth="1"/>
    <col min="10263" max="10263" width="31.75" customWidth="1"/>
    <col min="10264" max="10278" width="3.625" customWidth="1"/>
    <col min="10497" max="10497" width="5.25" customWidth="1"/>
    <col min="10498" max="10498" width="30.25" customWidth="1"/>
    <col min="10499" max="10499" width="5.125" customWidth="1"/>
    <col min="10500" max="10503" width="2.875" customWidth="1"/>
    <col min="10504" max="10504" width="3.75" customWidth="1"/>
    <col min="10505" max="10516" width="2.875" customWidth="1"/>
    <col min="10517" max="10517" width="5" customWidth="1"/>
    <col min="10518" max="10518" width="3.625" customWidth="1"/>
    <col min="10519" max="10519" width="31.75" customWidth="1"/>
    <col min="10520" max="10534" width="3.625" customWidth="1"/>
    <col min="10753" max="10753" width="5.25" customWidth="1"/>
    <col min="10754" max="10754" width="30.25" customWidth="1"/>
    <col min="10755" max="10755" width="5.125" customWidth="1"/>
    <col min="10756" max="10759" width="2.875" customWidth="1"/>
    <col min="10760" max="10760" width="3.75" customWidth="1"/>
    <col min="10761" max="10772" width="2.875" customWidth="1"/>
    <col min="10773" max="10773" width="5" customWidth="1"/>
    <col min="10774" max="10774" width="3.625" customWidth="1"/>
    <col min="10775" max="10775" width="31.75" customWidth="1"/>
    <col min="10776" max="10790" width="3.625" customWidth="1"/>
    <col min="11009" max="11009" width="5.25" customWidth="1"/>
    <col min="11010" max="11010" width="30.25" customWidth="1"/>
    <col min="11011" max="11011" width="5.125" customWidth="1"/>
    <col min="11012" max="11015" width="2.875" customWidth="1"/>
    <col min="11016" max="11016" width="3.75" customWidth="1"/>
    <col min="11017" max="11028" width="2.875" customWidth="1"/>
    <col min="11029" max="11029" width="5" customWidth="1"/>
    <col min="11030" max="11030" width="3.625" customWidth="1"/>
    <col min="11031" max="11031" width="31.75" customWidth="1"/>
    <col min="11032" max="11046" width="3.625" customWidth="1"/>
    <col min="11265" max="11265" width="5.25" customWidth="1"/>
    <col min="11266" max="11266" width="30.25" customWidth="1"/>
    <col min="11267" max="11267" width="5.125" customWidth="1"/>
    <col min="11268" max="11271" width="2.875" customWidth="1"/>
    <col min="11272" max="11272" width="3.75" customWidth="1"/>
    <col min="11273" max="11284" width="2.875" customWidth="1"/>
    <col min="11285" max="11285" width="5" customWidth="1"/>
    <col min="11286" max="11286" width="3.625" customWidth="1"/>
    <col min="11287" max="11287" width="31.75" customWidth="1"/>
    <col min="11288" max="11302" width="3.625" customWidth="1"/>
    <col min="11521" max="11521" width="5.25" customWidth="1"/>
    <col min="11522" max="11522" width="30.25" customWidth="1"/>
    <col min="11523" max="11523" width="5.125" customWidth="1"/>
    <col min="11524" max="11527" width="2.875" customWidth="1"/>
    <col min="11528" max="11528" width="3.75" customWidth="1"/>
    <col min="11529" max="11540" width="2.875" customWidth="1"/>
    <col min="11541" max="11541" width="5" customWidth="1"/>
    <col min="11542" max="11542" width="3.625" customWidth="1"/>
    <col min="11543" max="11543" width="31.75" customWidth="1"/>
    <col min="11544" max="11558" width="3.625" customWidth="1"/>
    <col min="11777" max="11777" width="5.25" customWidth="1"/>
    <col min="11778" max="11778" width="30.25" customWidth="1"/>
    <col min="11779" max="11779" width="5.125" customWidth="1"/>
    <col min="11780" max="11783" width="2.875" customWidth="1"/>
    <col min="11784" max="11784" width="3.75" customWidth="1"/>
    <col min="11785" max="11796" width="2.875" customWidth="1"/>
    <col min="11797" max="11797" width="5" customWidth="1"/>
    <col min="11798" max="11798" width="3.625" customWidth="1"/>
    <col min="11799" max="11799" width="31.75" customWidth="1"/>
    <col min="11800" max="11814" width="3.625" customWidth="1"/>
    <col min="12033" max="12033" width="5.25" customWidth="1"/>
    <col min="12034" max="12034" width="30.25" customWidth="1"/>
    <col min="12035" max="12035" width="5.125" customWidth="1"/>
    <col min="12036" max="12039" width="2.875" customWidth="1"/>
    <col min="12040" max="12040" width="3.75" customWidth="1"/>
    <col min="12041" max="12052" width="2.875" customWidth="1"/>
    <col min="12053" max="12053" width="5" customWidth="1"/>
    <col min="12054" max="12054" width="3.625" customWidth="1"/>
    <col min="12055" max="12055" width="31.75" customWidth="1"/>
    <col min="12056" max="12070" width="3.625" customWidth="1"/>
    <col min="12289" max="12289" width="5.25" customWidth="1"/>
    <col min="12290" max="12290" width="30.25" customWidth="1"/>
    <col min="12291" max="12291" width="5.125" customWidth="1"/>
    <col min="12292" max="12295" width="2.875" customWidth="1"/>
    <col min="12296" max="12296" width="3.75" customWidth="1"/>
    <col min="12297" max="12308" width="2.875" customWidth="1"/>
    <col min="12309" max="12309" width="5" customWidth="1"/>
    <col min="12310" max="12310" width="3.625" customWidth="1"/>
    <col min="12311" max="12311" width="31.75" customWidth="1"/>
    <col min="12312" max="12326" width="3.625" customWidth="1"/>
    <col min="12545" max="12545" width="5.25" customWidth="1"/>
    <col min="12546" max="12546" width="30.25" customWidth="1"/>
    <col min="12547" max="12547" width="5.125" customWidth="1"/>
    <col min="12548" max="12551" width="2.875" customWidth="1"/>
    <col min="12552" max="12552" width="3.75" customWidth="1"/>
    <col min="12553" max="12564" width="2.875" customWidth="1"/>
    <col min="12565" max="12565" width="5" customWidth="1"/>
    <col min="12566" max="12566" width="3.625" customWidth="1"/>
    <col min="12567" max="12567" width="31.75" customWidth="1"/>
    <col min="12568" max="12582" width="3.625" customWidth="1"/>
    <col min="12801" max="12801" width="5.25" customWidth="1"/>
    <col min="12802" max="12802" width="30.25" customWidth="1"/>
    <col min="12803" max="12803" width="5.125" customWidth="1"/>
    <col min="12804" max="12807" width="2.875" customWidth="1"/>
    <col min="12808" max="12808" width="3.75" customWidth="1"/>
    <col min="12809" max="12820" width="2.875" customWidth="1"/>
    <col min="12821" max="12821" width="5" customWidth="1"/>
    <col min="12822" max="12822" width="3.625" customWidth="1"/>
    <col min="12823" max="12823" width="31.75" customWidth="1"/>
    <col min="12824" max="12838" width="3.625" customWidth="1"/>
    <col min="13057" max="13057" width="5.25" customWidth="1"/>
    <col min="13058" max="13058" width="30.25" customWidth="1"/>
    <col min="13059" max="13059" width="5.125" customWidth="1"/>
    <col min="13060" max="13063" width="2.875" customWidth="1"/>
    <col min="13064" max="13064" width="3.75" customWidth="1"/>
    <col min="13065" max="13076" width="2.875" customWidth="1"/>
    <col min="13077" max="13077" width="5" customWidth="1"/>
    <col min="13078" max="13078" width="3.625" customWidth="1"/>
    <col min="13079" max="13079" width="31.75" customWidth="1"/>
    <col min="13080" max="13094" width="3.625" customWidth="1"/>
    <col min="13313" max="13313" width="5.25" customWidth="1"/>
    <col min="13314" max="13314" width="30.25" customWidth="1"/>
    <col min="13315" max="13315" width="5.125" customWidth="1"/>
    <col min="13316" max="13319" width="2.875" customWidth="1"/>
    <col min="13320" max="13320" width="3.75" customWidth="1"/>
    <col min="13321" max="13332" width="2.875" customWidth="1"/>
    <col min="13333" max="13333" width="5" customWidth="1"/>
    <col min="13334" max="13334" width="3.625" customWidth="1"/>
    <col min="13335" max="13335" width="31.75" customWidth="1"/>
    <col min="13336" max="13350" width="3.625" customWidth="1"/>
    <col min="13569" max="13569" width="5.25" customWidth="1"/>
    <col min="13570" max="13570" width="30.25" customWidth="1"/>
    <col min="13571" max="13571" width="5.125" customWidth="1"/>
    <col min="13572" max="13575" width="2.875" customWidth="1"/>
    <col min="13576" max="13576" width="3.75" customWidth="1"/>
    <col min="13577" max="13588" width="2.875" customWidth="1"/>
    <col min="13589" max="13589" width="5" customWidth="1"/>
    <col min="13590" max="13590" width="3.625" customWidth="1"/>
    <col min="13591" max="13591" width="31.75" customWidth="1"/>
    <col min="13592" max="13606" width="3.625" customWidth="1"/>
    <col min="13825" max="13825" width="5.25" customWidth="1"/>
    <col min="13826" max="13826" width="30.25" customWidth="1"/>
    <col min="13827" max="13827" width="5.125" customWidth="1"/>
    <col min="13828" max="13831" width="2.875" customWidth="1"/>
    <col min="13832" max="13832" width="3.75" customWidth="1"/>
    <col min="13833" max="13844" width="2.875" customWidth="1"/>
    <col min="13845" max="13845" width="5" customWidth="1"/>
    <col min="13846" max="13846" width="3.625" customWidth="1"/>
    <col min="13847" max="13847" width="31.75" customWidth="1"/>
    <col min="13848" max="13862" width="3.625" customWidth="1"/>
    <col min="14081" max="14081" width="5.25" customWidth="1"/>
    <col min="14082" max="14082" width="30.25" customWidth="1"/>
    <col min="14083" max="14083" width="5.125" customWidth="1"/>
    <col min="14084" max="14087" width="2.875" customWidth="1"/>
    <col min="14088" max="14088" width="3.75" customWidth="1"/>
    <col min="14089" max="14100" width="2.875" customWidth="1"/>
    <col min="14101" max="14101" width="5" customWidth="1"/>
    <col min="14102" max="14102" width="3.625" customWidth="1"/>
    <col min="14103" max="14103" width="31.75" customWidth="1"/>
    <col min="14104" max="14118" width="3.625" customWidth="1"/>
    <col min="14337" max="14337" width="5.25" customWidth="1"/>
    <col min="14338" max="14338" width="30.25" customWidth="1"/>
    <col min="14339" max="14339" width="5.125" customWidth="1"/>
    <col min="14340" max="14343" width="2.875" customWidth="1"/>
    <col min="14344" max="14344" width="3.75" customWidth="1"/>
    <col min="14345" max="14356" width="2.875" customWidth="1"/>
    <col min="14357" max="14357" width="5" customWidth="1"/>
    <col min="14358" max="14358" width="3.625" customWidth="1"/>
    <col min="14359" max="14359" width="31.75" customWidth="1"/>
    <col min="14360" max="14374" width="3.625" customWidth="1"/>
    <col min="14593" max="14593" width="5.25" customWidth="1"/>
    <col min="14594" max="14594" width="30.25" customWidth="1"/>
    <col min="14595" max="14595" width="5.125" customWidth="1"/>
    <col min="14596" max="14599" width="2.875" customWidth="1"/>
    <col min="14600" max="14600" width="3.75" customWidth="1"/>
    <col min="14601" max="14612" width="2.875" customWidth="1"/>
    <col min="14613" max="14613" width="5" customWidth="1"/>
    <col min="14614" max="14614" width="3.625" customWidth="1"/>
    <col min="14615" max="14615" width="31.75" customWidth="1"/>
    <col min="14616" max="14630" width="3.625" customWidth="1"/>
    <col min="14849" max="14849" width="5.25" customWidth="1"/>
    <col min="14850" max="14850" width="30.25" customWidth="1"/>
    <col min="14851" max="14851" width="5.125" customWidth="1"/>
    <col min="14852" max="14855" width="2.875" customWidth="1"/>
    <col min="14856" max="14856" width="3.75" customWidth="1"/>
    <col min="14857" max="14868" width="2.875" customWidth="1"/>
    <col min="14869" max="14869" width="5" customWidth="1"/>
    <col min="14870" max="14870" width="3.625" customWidth="1"/>
    <col min="14871" max="14871" width="31.75" customWidth="1"/>
    <col min="14872" max="14886" width="3.625" customWidth="1"/>
    <col min="15105" max="15105" width="5.25" customWidth="1"/>
    <col min="15106" max="15106" width="30.25" customWidth="1"/>
    <col min="15107" max="15107" width="5.125" customWidth="1"/>
    <col min="15108" max="15111" width="2.875" customWidth="1"/>
    <col min="15112" max="15112" width="3.75" customWidth="1"/>
    <col min="15113" max="15124" width="2.875" customWidth="1"/>
    <col min="15125" max="15125" width="5" customWidth="1"/>
    <col min="15126" max="15126" width="3.625" customWidth="1"/>
    <col min="15127" max="15127" width="31.75" customWidth="1"/>
    <col min="15128" max="15142" width="3.625" customWidth="1"/>
    <col min="15361" max="15361" width="5.25" customWidth="1"/>
    <col min="15362" max="15362" width="30.25" customWidth="1"/>
    <col min="15363" max="15363" width="5.125" customWidth="1"/>
    <col min="15364" max="15367" width="2.875" customWidth="1"/>
    <col min="15368" max="15368" width="3.75" customWidth="1"/>
    <col min="15369" max="15380" width="2.875" customWidth="1"/>
    <col min="15381" max="15381" width="5" customWidth="1"/>
    <col min="15382" max="15382" width="3.625" customWidth="1"/>
    <col min="15383" max="15383" width="31.75" customWidth="1"/>
    <col min="15384" max="15398" width="3.625" customWidth="1"/>
    <col min="15617" max="15617" width="5.25" customWidth="1"/>
    <col min="15618" max="15618" width="30.25" customWidth="1"/>
    <col min="15619" max="15619" width="5.125" customWidth="1"/>
    <col min="15620" max="15623" width="2.875" customWidth="1"/>
    <col min="15624" max="15624" width="3.75" customWidth="1"/>
    <col min="15625" max="15636" width="2.875" customWidth="1"/>
    <col min="15637" max="15637" width="5" customWidth="1"/>
    <col min="15638" max="15638" width="3.625" customWidth="1"/>
    <col min="15639" max="15639" width="31.75" customWidth="1"/>
    <col min="15640" max="15654" width="3.625" customWidth="1"/>
    <col min="15873" max="15873" width="5.25" customWidth="1"/>
    <col min="15874" max="15874" width="30.25" customWidth="1"/>
    <col min="15875" max="15875" width="5.125" customWidth="1"/>
    <col min="15876" max="15879" width="2.875" customWidth="1"/>
    <col min="15880" max="15880" width="3.75" customWidth="1"/>
    <col min="15881" max="15892" width="2.875" customWidth="1"/>
    <col min="15893" max="15893" width="5" customWidth="1"/>
    <col min="15894" max="15894" width="3.625" customWidth="1"/>
    <col min="15895" max="15895" width="31.75" customWidth="1"/>
    <col min="15896" max="15910" width="3.625" customWidth="1"/>
    <col min="16129" max="16129" width="5.25" customWidth="1"/>
    <col min="16130" max="16130" width="30.25" customWidth="1"/>
    <col min="16131" max="16131" width="5.125" customWidth="1"/>
    <col min="16132" max="16135" width="2.875" customWidth="1"/>
    <col min="16136" max="16136" width="3.75" customWidth="1"/>
    <col min="16137" max="16148" width="2.875" customWidth="1"/>
    <col min="16149" max="16149" width="5" customWidth="1"/>
    <col min="16150" max="16150" width="3.625" customWidth="1"/>
    <col min="16151" max="16151" width="31.75" customWidth="1"/>
    <col min="16152" max="16166" width="3.625" customWidth="1"/>
  </cols>
  <sheetData>
    <row r="1" spans="1:39" ht="16.850000000000001" customHeigh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</row>
    <row r="2" spans="1:39" ht="16.850000000000001" customHeight="1" x14ac:dyDescent="0.25">
      <c r="A2" s="54"/>
      <c r="B2" s="54" t="s">
        <v>19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</row>
    <row r="3" spans="1:39" x14ac:dyDescent="0.25">
      <c r="A3" s="40"/>
      <c r="B3" s="11" t="s">
        <v>16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</row>
    <row r="4" spans="1:39" s="18" customFormat="1" ht="27.1" customHeight="1" x14ac:dyDescent="0.25">
      <c r="A4" s="62"/>
      <c r="B4" s="62" t="s">
        <v>64</v>
      </c>
      <c r="C4" s="63" t="s">
        <v>74</v>
      </c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5"/>
      <c r="U4" s="55"/>
      <c r="V4" s="55"/>
      <c r="W4" s="58" t="s">
        <v>6</v>
      </c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s="18" customFormat="1" ht="26.25" customHeight="1" x14ac:dyDescent="0.25">
      <c r="A5" s="62"/>
      <c r="B5" s="62"/>
      <c r="C5" s="19" t="s">
        <v>7</v>
      </c>
      <c r="D5" s="19" t="s">
        <v>75</v>
      </c>
      <c r="E5" s="19" t="s">
        <v>76</v>
      </c>
      <c r="F5" s="19" t="s">
        <v>77</v>
      </c>
      <c r="G5" s="19" t="s">
        <v>78</v>
      </c>
      <c r="H5" s="19" t="s">
        <v>79</v>
      </c>
      <c r="I5" s="19" t="s">
        <v>80</v>
      </c>
      <c r="J5" s="19" t="s">
        <v>81</v>
      </c>
      <c r="K5" s="19" t="s">
        <v>82</v>
      </c>
      <c r="L5" s="19" t="s">
        <v>83</v>
      </c>
      <c r="M5" s="19" t="s">
        <v>84</v>
      </c>
      <c r="N5" s="19" t="s">
        <v>85</v>
      </c>
      <c r="O5" s="19" t="s">
        <v>86</v>
      </c>
      <c r="P5" s="19" t="s">
        <v>87</v>
      </c>
      <c r="Q5" s="19" t="s">
        <v>88</v>
      </c>
      <c r="R5" s="19" t="s">
        <v>89</v>
      </c>
      <c r="S5" s="19" t="s">
        <v>90</v>
      </c>
      <c r="T5" s="19" t="s">
        <v>91</v>
      </c>
      <c r="U5" s="55"/>
      <c r="V5" s="55"/>
      <c r="W5" s="59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s="23" customFormat="1" ht="11.95" customHeight="1" x14ac:dyDescent="0.25">
      <c r="A6" s="20"/>
      <c r="B6" s="21" t="s">
        <v>20</v>
      </c>
      <c r="C6" s="22"/>
      <c r="D6" s="50">
        <v>17</v>
      </c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6"/>
      <c r="V6" s="56"/>
      <c r="W6" s="60" t="str">
        <f>B6</f>
        <v>Менеджер1</v>
      </c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</row>
    <row r="7" spans="1:39" s="23" customFormat="1" ht="11.95" customHeight="1" x14ac:dyDescent="0.25">
      <c r="A7" s="20"/>
      <c r="B7" s="21" t="s">
        <v>21</v>
      </c>
      <c r="C7" s="50"/>
      <c r="D7" s="50">
        <v>1</v>
      </c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6"/>
      <c r="V7" s="56"/>
      <c r="W7" s="60" t="str">
        <f t="shared" ref="W7:W52" si="0">B7</f>
        <v>Менеджер2</v>
      </c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</row>
    <row r="8" spans="1:39" s="23" customFormat="1" ht="11.95" customHeight="1" x14ac:dyDescent="0.25">
      <c r="A8" s="20"/>
      <c r="B8" s="21" t="s">
        <v>22</v>
      </c>
      <c r="C8" s="50"/>
      <c r="D8" s="50">
        <v>5</v>
      </c>
      <c r="E8" s="50"/>
      <c r="F8" s="50"/>
      <c r="G8" s="50"/>
      <c r="H8" s="50"/>
      <c r="I8" s="50"/>
      <c r="J8" s="50"/>
      <c r="K8" s="50"/>
      <c r="L8" s="50">
        <v>6</v>
      </c>
      <c r="M8" s="50">
        <v>6</v>
      </c>
      <c r="N8" s="50">
        <v>3</v>
      </c>
      <c r="O8" s="50"/>
      <c r="P8" s="50"/>
      <c r="Q8" s="50"/>
      <c r="R8" s="50"/>
      <c r="S8" s="50"/>
      <c r="T8" s="50"/>
      <c r="U8" s="56"/>
      <c r="V8" s="56"/>
      <c r="W8" s="60" t="str">
        <f t="shared" si="0"/>
        <v>Менеджер3</v>
      </c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</row>
    <row r="9" spans="1:39" s="23" customFormat="1" ht="11.95" customHeight="1" x14ac:dyDescent="0.25">
      <c r="A9" s="20"/>
      <c r="B9" s="21" t="s">
        <v>23</v>
      </c>
      <c r="C9" s="50"/>
      <c r="D9" s="50">
        <v>1</v>
      </c>
      <c r="E9" s="50"/>
      <c r="F9" s="50"/>
      <c r="G9" s="50"/>
      <c r="H9" s="50"/>
      <c r="I9" s="50"/>
      <c r="J9" s="50"/>
      <c r="K9" s="50"/>
      <c r="L9" s="50"/>
      <c r="M9" s="50"/>
      <c r="N9" s="50">
        <v>4</v>
      </c>
      <c r="O9" s="50"/>
      <c r="P9" s="50"/>
      <c r="Q9" s="50"/>
      <c r="R9" s="50"/>
      <c r="S9" s="50"/>
      <c r="T9" s="50"/>
      <c r="U9" s="56"/>
      <c r="V9" s="56"/>
      <c r="W9" s="60" t="str">
        <f t="shared" si="0"/>
        <v>Менеджер4</v>
      </c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</row>
    <row r="10" spans="1:39" s="23" customFormat="1" ht="11.95" customHeight="1" x14ac:dyDescent="0.25">
      <c r="A10" s="20"/>
      <c r="B10" s="21" t="s">
        <v>24</v>
      </c>
      <c r="C10" s="50"/>
      <c r="D10" s="50">
        <v>1</v>
      </c>
      <c r="E10" s="50"/>
      <c r="F10" s="50"/>
      <c r="G10" s="50"/>
      <c r="H10" s="50"/>
      <c r="I10" s="50"/>
      <c r="J10" s="50"/>
      <c r="K10" s="50">
        <v>6</v>
      </c>
      <c r="L10" s="50"/>
      <c r="M10" s="50"/>
      <c r="N10" s="50">
        <v>5</v>
      </c>
      <c r="O10" s="50"/>
      <c r="P10" s="50"/>
      <c r="Q10" s="50"/>
      <c r="R10" s="50"/>
      <c r="S10" s="50"/>
      <c r="T10" s="50"/>
      <c r="U10" s="56"/>
      <c r="V10" s="56"/>
      <c r="W10" s="60" t="str">
        <f t="shared" si="0"/>
        <v>Менеджер5</v>
      </c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</row>
    <row r="11" spans="1:39" s="23" customFormat="1" ht="11.95" customHeight="1" x14ac:dyDescent="0.25">
      <c r="A11" s="20"/>
      <c r="B11" s="21" t="s">
        <v>25</v>
      </c>
      <c r="C11" s="50"/>
      <c r="D11" s="50">
        <v>1</v>
      </c>
      <c r="E11" s="50"/>
      <c r="F11" s="50"/>
      <c r="G11" s="50"/>
      <c r="H11" s="50"/>
      <c r="I11" s="50"/>
      <c r="J11" s="50">
        <v>6</v>
      </c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6"/>
      <c r="V11" s="56"/>
      <c r="W11" s="60" t="str">
        <f t="shared" si="0"/>
        <v>Менеджер6</v>
      </c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</row>
    <row r="12" spans="1:39" s="23" customFormat="1" ht="11.95" customHeight="1" x14ac:dyDescent="0.25">
      <c r="A12" s="20"/>
      <c r="B12" s="21" t="s">
        <v>26</v>
      </c>
      <c r="C12" s="50"/>
      <c r="D12" s="50"/>
      <c r="E12" s="50"/>
      <c r="F12" s="50"/>
      <c r="G12" s="50"/>
      <c r="H12" s="50"/>
      <c r="I12" s="50">
        <v>6</v>
      </c>
      <c r="J12" s="50"/>
      <c r="K12" s="50"/>
      <c r="L12" s="50"/>
      <c r="M12" s="50"/>
      <c r="N12" s="50">
        <v>4</v>
      </c>
      <c r="O12" s="50"/>
      <c r="P12" s="50"/>
      <c r="Q12" s="50"/>
      <c r="R12" s="50"/>
      <c r="S12" s="50"/>
      <c r="T12" s="50"/>
      <c r="U12" s="56"/>
      <c r="V12" s="56"/>
      <c r="W12" s="60" t="str">
        <f t="shared" si="0"/>
        <v>Менеджер7</v>
      </c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</row>
    <row r="13" spans="1:39" s="23" customFormat="1" ht="11.95" customHeight="1" x14ac:dyDescent="0.25">
      <c r="A13" s="20"/>
      <c r="B13" s="21" t="s">
        <v>27</v>
      </c>
      <c r="C13" s="50"/>
      <c r="D13" s="50">
        <v>3</v>
      </c>
      <c r="E13" s="50"/>
      <c r="F13" s="50"/>
      <c r="G13" s="50"/>
      <c r="H13" s="50"/>
      <c r="I13" s="50">
        <v>14</v>
      </c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6"/>
      <c r="V13" s="56"/>
      <c r="W13" s="60" t="str">
        <f t="shared" si="0"/>
        <v>Менеджер8</v>
      </c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</row>
    <row r="14" spans="1:39" ht="11.95" customHeight="1" x14ac:dyDescent="0.25">
      <c r="A14" s="20"/>
      <c r="B14" s="21" t="s">
        <v>28</v>
      </c>
      <c r="C14" s="50"/>
      <c r="D14" s="50"/>
      <c r="E14" s="50"/>
      <c r="F14" s="50"/>
      <c r="G14" s="50"/>
      <c r="H14" s="50">
        <v>5</v>
      </c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40"/>
      <c r="V14" s="40"/>
      <c r="W14" s="60" t="str">
        <f t="shared" si="0"/>
        <v>Менеджер9</v>
      </c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</row>
    <row r="15" spans="1:39" ht="11.95" customHeight="1" x14ac:dyDescent="0.25">
      <c r="A15" s="57"/>
      <c r="B15" s="21" t="s">
        <v>29</v>
      </c>
      <c r="C15" s="50"/>
      <c r="D15" s="50"/>
      <c r="E15" s="50"/>
      <c r="F15" s="50"/>
      <c r="G15" s="50">
        <v>8</v>
      </c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40"/>
      <c r="V15" s="40"/>
      <c r="W15" s="60" t="str">
        <f t="shared" si="0"/>
        <v>Менеджер10</v>
      </c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</row>
    <row r="16" spans="1:39" ht="11.95" customHeight="1" x14ac:dyDescent="0.25">
      <c r="A16" s="57"/>
      <c r="B16" s="21" t="s">
        <v>30</v>
      </c>
      <c r="C16" s="50"/>
      <c r="D16" s="50"/>
      <c r="E16" s="50"/>
      <c r="F16" s="50"/>
      <c r="G16" s="50">
        <v>8</v>
      </c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40"/>
      <c r="V16" s="40"/>
      <c r="W16" s="60" t="str">
        <f t="shared" si="0"/>
        <v>Менеджер11</v>
      </c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</row>
    <row r="17" spans="1:39" ht="11.95" customHeight="1" x14ac:dyDescent="0.25">
      <c r="A17" s="57"/>
      <c r="B17" s="21" t="s">
        <v>31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40"/>
      <c r="V17" s="40"/>
      <c r="W17" s="60" t="str">
        <f t="shared" si="0"/>
        <v>Менеджер12</v>
      </c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</row>
    <row r="18" spans="1:39" ht="11.95" customHeight="1" x14ac:dyDescent="0.25">
      <c r="A18" s="61"/>
      <c r="B18" s="6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40"/>
      <c r="V18" s="40"/>
      <c r="W18" s="60">
        <f t="shared" si="0"/>
        <v>0</v>
      </c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</row>
    <row r="19" spans="1:39" ht="11.95" customHeight="1" x14ac:dyDescent="0.25">
      <c r="A19" s="20"/>
      <c r="B19" s="21" t="s">
        <v>32</v>
      </c>
      <c r="C19" s="50"/>
      <c r="D19" s="50">
        <v>16</v>
      </c>
      <c r="E19" s="50"/>
      <c r="F19" s="50"/>
      <c r="G19" s="50">
        <v>5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40"/>
      <c r="V19" s="40"/>
      <c r="W19" s="60" t="str">
        <f t="shared" si="0"/>
        <v>Менеджер13</v>
      </c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</row>
    <row r="20" spans="1:39" ht="11.95" customHeight="1" x14ac:dyDescent="0.25">
      <c r="A20" s="20"/>
      <c r="B20" s="21" t="s">
        <v>33</v>
      </c>
      <c r="C20" s="50"/>
      <c r="D20" s="50"/>
      <c r="E20" s="50">
        <v>9</v>
      </c>
      <c r="F20" s="50">
        <v>2</v>
      </c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40"/>
      <c r="V20" s="40"/>
      <c r="W20" s="60" t="str">
        <f t="shared" si="0"/>
        <v>Менеджер14</v>
      </c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</row>
    <row r="21" spans="1:39" ht="11.95" customHeight="1" x14ac:dyDescent="0.25">
      <c r="A21" s="20"/>
      <c r="B21" s="21" t="s">
        <v>34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40"/>
      <c r="V21" s="40"/>
      <c r="W21" s="60" t="str">
        <f t="shared" si="0"/>
        <v>Менеджер15</v>
      </c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</row>
    <row r="22" spans="1:39" ht="11.95" customHeight="1" x14ac:dyDescent="0.25">
      <c r="A22" s="20"/>
      <c r="B22" s="21" t="s">
        <v>35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40"/>
      <c r="V22" s="40"/>
      <c r="W22" s="60" t="str">
        <f t="shared" si="0"/>
        <v>Менеджер16</v>
      </c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</row>
    <row r="23" spans="1:39" ht="11.95" customHeight="1" x14ac:dyDescent="0.25">
      <c r="A23" s="20"/>
      <c r="B23" s="21" t="s">
        <v>36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40"/>
      <c r="V23" s="40"/>
      <c r="W23" s="60" t="str">
        <f t="shared" si="0"/>
        <v>Менеджер17</v>
      </c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</row>
    <row r="24" spans="1:39" ht="11.95" customHeight="1" x14ac:dyDescent="0.25">
      <c r="A24" s="20"/>
      <c r="B24" s="21" t="s">
        <v>37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40"/>
      <c r="V24" s="40"/>
      <c r="W24" s="60" t="str">
        <f t="shared" si="0"/>
        <v>Менеджер18</v>
      </c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</row>
    <row r="25" spans="1:39" ht="11.95" customHeight="1" x14ac:dyDescent="0.25">
      <c r="A25" s="20"/>
      <c r="B25" s="21" t="s">
        <v>38</v>
      </c>
      <c r="C25" s="50"/>
      <c r="D25" s="50"/>
      <c r="E25" s="50"/>
      <c r="F25" s="50"/>
      <c r="G25" s="50"/>
      <c r="H25" s="50"/>
      <c r="I25" s="50"/>
      <c r="J25" s="50">
        <v>5</v>
      </c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40"/>
      <c r="V25" s="40"/>
      <c r="W25" s="60" t="str">
        <f t="shared" si="0"/>
        <v>Менеджер19</v>
      </c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</row>
    <row r="26" spans="1:39" ht="11.95" customHeight="1" x14ac:dyDescent="0.25">
      <c r="A26" s="20"/>
      <c r="B26" s="21" t="s">
        <v>39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40"/>
      <c r="V26" s="40"/>
      <c r="W26" s="60" t="str">
        <f t="shared" si="0"/>
        <v>Менеджер20</v>
      </c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</row>
    <row r="27" spans="1:39" ht="11.95" customHeight="1" x14ac:dyDescent="0.25">
      <c r="A27" s="20"/>
      <c r="B27" s="21" t="s">
        <v>40</v>
      </c>
      <c r="C27" s="50"/>
      <c r="D27" s="50"/>
      <c r="E27" s="50"/>
      <c r="F27" s="50"/>
      <c r="G27" s="50"/>
      <c r="H27" s="50"/>
      <c r="I27" s="50"/>
      <c r="J27" s="50">
        <v>2</v>
      </c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40"/>
      <c r="V27" s="40"/>
      <c r="W27" s="60" t="str">
        <f t="shared" si="0"/>
        <v>Менеджер21</v>
      </c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</row>
    <row r="28" spans="1:39" ht="11.95" customHeight="1" x14ac:dyDescent="0.25">
      <c r="A28" s="20"/>
      <c r="B28" s="21" t="s">
        <v>41</v>
      </c>
      <c r="C28" s="50"/>
      <c r="D28" s="50"/>
      <c r="E28" s="50"/>
      <c r="F28" s="50"/>
      <c r="G28" s="50"/>
      <c r="H28" s="50"/>
      <c r="I28" s="50"/>
      <c r="J28" s="50"/>
      <c r="K28" s="50">
        <v>11</v>
      </c>
      <c r="L28" s="50">
        <v>1</v>
      </c>
      <c r="M28" s="50"/>
      <c r="N28" s="50"/>
      <c r="O28" s="50"/>
      <c r="P28" s="50"/>
      <c r="Q28" s="50"/>
      <c r="R28" s="50"/>
      <c r="S28" s="50"/>
      <c r="T28" s="50"/>
      <c r="U28" s="40"/>
      <c r="V28" s="40"/>
      <c r="W28" s="60" t="str">
        <f t="shared" si="0"/>
        <v>Менеджер22</v>
      </c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</row>
    <row r="29" spans="1:39" ht="11.95" customHeight="1" x14ac:dyDescent="0.25">
      <c r="A29" s="20"/>
      <c r="B29" s="21" t="s">
        <v>42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40"/>
      <c r="V29" s="40"/>
      <c r="W29" s="60" t="str">
        <f t="shared" si="0"/>
        <v>Менеджер23</v>
      </c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</row>
    <row r="30" spans="1:39" ht="11.95" customHeight="1" x14ac:dyDescent="0.25">
      <c r="A30" s="20"/>
      <c r="B30" s="21" t="s">
        <v>43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40"/>
      <c r="V30" s="40"/>
      <c r="W30" s="60" t="str">
        <f t="shared" si="0"/>
        <v>Менеджер24</v>
      </c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</row>
    <row r="31" spans="1:39" ht="11.95" customHeight="1" x14ac:dyDescent="0.25">
      <c r="A31" s="20"/>
      <c r="B31" s="21" t="s">
        <v>44</v>
      </c>
      <c r="C31" s="50"/>
      <c r="D31" s="50"/>
      <c r="E31" s="50"/>
      <c r="F31" s="50">
        <v>9</v>
      </c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40"/>
      <c r="V31" s="40"/>
      <c r="W31" s="60" t="str">
        <f t="shared" si="0"/>
        <v>Менеджер25</v>
      </c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</row>
    <row r="32" spans="1:39" ht="11.95" customHeight="1" x14ac:dyDescent="0.25">
      <c r="A32" s="20"/>
      <c r="B32" s="21" t="s">
        <v>45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40"/>
      <c r="V32" s="40"/>
      <c r="W32" s="60" t="str">
        <f t="shared" si="0"/>
        <v>Менеджер26</v>
      </c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</row>
    <row r="33" spans="1:39" ht="11.95" customHeight="1" x14ac:dyDescent="0.25">
      <c r="A33" s="20"/>
      <c r="B33" s="21" t="s">
        <v>46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40"/>
      <c r="V33" s="40"/>
      <c r="W33" s="60" t="str">
        <f t="shared" si="0"/>
        <v>Менеджер27</v>
      </c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</row>
    <row r="34" spans="1:39" ht="11.95" customHeight="1" x14ac:dyDescent="0.25">
      <c r="A34" s="20"/>
      <c r="B34" s="21" t="s">
        <v>47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40"/>
      <c r="V34" s="40"/>
      <c r="W34" s="60" t="str">
        <f t="shared" si="0"/>
        <v>Менеджер28</v>
      </c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</row>
    <row r="35" spans="1:39" ht="11.95" customHeight="1" x14ac:dyDescent="0.25">
      <c r="A35" s="20"/>
      <c r="B35" s="21" t="s">
        <v>48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40"/>
      <c r="V35" s="40"/>
      <c r="W35" s="60" t="str">
        <f t="shared" si="0"/>
        <v>Менеджер29</v>
      </c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</row>
    <row r="36" spans="1:39" ht="11.95" customHeight="1" x14ac:dyDescent="0.25">
      <c r="A36" s="20"/>
      <c r="B36" s="21" t="s">
        <v>49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40"/>
      <c r="V36" s="40"/>
      <c r="W36" s="60" t="str">
        <f t="shared" si="0"/>
        <v>Менеджер30</v>
      </c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</row>
    <row r="37" spans="1:39" ht="11.95" customHeight="1" x14ac:dyDescent="0.25">
      <c r="A37" s="20"/>
      <c r="B37" s="21" t="s">
        <v>50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40"/>
      <c r="V37" s="40"/>
      <c r="W37" s="60" t="str">
        <f t="shared" si="0"/>
        <v>Менеджер31</v>
      </c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</row>
    <row r="38" spans="1:39" ht="11.95" customHeight="1" x14ac:dyDescent="0.25">
      <c r="A38" s="20"/>
      <c r="B38" s="21" t="s">
        <v>51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40"/>
      <c r="V38" s="40"/>
      <c r="W38" s="60" t="str">
        <f t="shared" si="0"/>
        <v>Менеджер32</v>
      </c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</row>
    <row r="39" spans="1:39" ht="11.95" customHeight="1" x14ac:dyDescent="0.25">
      <c r="A39" s="20"/>
      <c r="B39" s="21" t="s">
        <v>52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40"/>
      <c r="V39" s="40"/>
      <c r="W39" s="60" t="str">
        <f t="shared" si="0"/>
        <v>Менеджер33</v>
      </c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</row>
    <row r="40" spans="1:39" ht="11.95" customHeight="1" x14ac:dyDescent="0.25">
      <c r="A40" s="20"/>
      <c r="B40" s="21" t="s">
        <v>53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40"/>
      <c r="V40" s="40"/>
      <c r="W40" s="60" t="str">
        <f t="shared" si="0"/>
        <v>Менеджер34</v>
      </c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</row>
    <row r="41" spans="1:39" ht="11.95" customHeight="1" x14ac:dyDescent="0.25">
      <c r="A41" s="20"/>
      <c r="B41" s="21" t="s">
        <v>54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40"/>
      <c r="V41" s="40"/>
      <c r="W41" s="60" t="str">
        <f t="shared" si="0"/>
        <v>Менеджер35</v>
      </c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</row>
    <row r="42" spans="1:39" ht="11.95" customHeight="1" x14ac:dyDescent="0.25">
      <c r="A42" s="20"/>
      <c r="B42" s="21" t="s">
        <v>55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40"/>
      <c r="V42" s="40"/>
      <c r="W42" s="60" t="str">
        <f t="shared" si="0"/>
        <v>Менеджер36</v>
      </c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</row>
    <row r="43" spans="1:39" ht="11.95" customHeight="1" x14ac:dyDescent="0.25">
      <c r="A43" s="20"/>
      <c r="B43" s="21" t="s">
        <v>56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40"/>
      <c r="V43" s="40"/>
      <c r="W43" s="60" t="str">
        <f t="shared" si="0"/>
        <v>Менеджер37</v>
      </c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</row>
    <row r="44" spans="1:39" ht="11.95" customHeight="1" x14ac:dyDescent="0.25">
      <c r="A44" s="20"/>
      <c r="B44" s="21" t="s">
        <v>57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40"/>
      <c r="V44" s="40"/>
      <c r="W44" s="60" t="str">
        <f t="shared" si="0"/>
        <v>Менеджер38</v>
      </c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</row>
    <row r="45" spans="1:39" ht="11.95" customHeight="1" x14ac:dyDescent="0.25">
      <c r="A45" s="20"/>
      <c r="B45" s="21" t="s">
        <v>58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40"/>
      <c r="V45" s="40"/>
      <c r="W45" s="60" t="str">
        <f t="shared" si="0"/>
        <v>Менеджер39</v>
      </c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</row>
    <row r="46" spans="1:39" ht="11.95" customHeight="1" x14ac:dyDescent="0.25">
      <c r="A46" s="20"/>
      <c r="B46" s="21" t="s">
        <v>59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40"/>
      <c r="V46" s="40"/>
      <c r="W46" s="60" t="str">
        <f t="shared" si="0"/>
        <v>Менеджер40</v>
      </c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</row>
    <row r="47" spans="1:39" ht="11.95" customHeight="1" x14ac:dyDescent="0.25">
      <c r="A47" s="20"/>
      <c r="B47" s="21" t="s">
        <v>60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40"/>
      <c r="V47" s="40"/>
      <c r="W47" s="60" t="str">
        <f t="shared" si="0"/>
        <v>Менеджер41</v>
      </c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</row>
    <row r="48" spans="1:39" ht="11.95" customHeight="1" x14ac:dyDescent="0.25">
      <c r="A48" s="61"/>
      <c r="B48" s="61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40"/>
      <c r="V48" s="40"/>
      <c r="W48" s="60">
        <f t="shared" si="0"/>
        <v>0</v>
      </c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</row>
    <row r="49" spans="1:39" ht="11.95" customHeight="1" x14ac:dyDescent="0.25">
      <c r="A49" s="20"/>
      <c r="B49" s="21" t="s">
        <v>61</v>
      </c>
      <c r="C49" s="53"/>
      <c r="D49" s="53"/>
      <c r="E49" s="53"/>
      <c r="F49" s="53">
        <v>2</v>
      </c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40"/>
      <c r="V49" s="40"/>
      <c r="W49" s="60" t="str">
        <f t="shared" si="0"/>
        <v>Менеджер42</v>
      </c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</row>
    <row r="50" spans="1:39" ht="11.95" customHeight="1" x14ac:dyDescent="0.25">
      <c r="A50" s="20"/>
      <c r="B50" s="21" t="s">
        <v>62</v>
      </c>
      <c r="C50" s="53"/>
      <c r="D50" s="53"/>
      <c r="E50" s="53"/>
      <c r="F50" s="53">
        <v>1</v>
      </c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40"/>
      <c r="V50" s="40"/>
      <c r="W50" s="60" t="str">
        <f t="shared" si="0"/>
        <v>Менеджер43</v>
      </c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</row>
    <row r="51" spans="1:39" ht="11.95" customHeight="1" x14ac:dyDescent="0.25">
      <c r="A51" s="20"/>
      <c r="B51" s="21" t="s">
        <v>63</v>
      </c>
      <c r="C51" s="53"/>
      <c r="D51" s="53">
        <v>1</v>
      </c>
      <c r="E51" s="53"/>
      <c r="F51" s="53"/>
      <c r="G51" s="53">
        <v>5</v>
      </c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40"/>
      <c r="V51" s="40"/>
      <c r="W51" s="60" t="str">
        <f t="shared" si="0"/>
        <v>Менеджер44</v>
      </c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</row>
    <row r="52" spans="1:39" ht="11.95" customHeight="1" x14ac:dyDescent="0.25">
      <c r="A52" s="61"/>
      <c r="B52" s="61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40"/>
      <c r="V52" s="40"/>
      <c r="W52" s="60">
        <f t="shared" si="0"/>
        <v>0</v>
      </c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</row>
    <row r="53" spans="1:39" x14ac:dyDescent="0.2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</row>
    <row r="54" spans="1:39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</row>
    <row r="55" spans="1:39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</row>
    <row r="56" spans="1:39" x14ac:dyDescent="0.2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</row>
    <row r="57" spans="1:39" x14ac:dyDescent="0.2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</row>
    <row r="58" spans="1:39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</row>
    <row r="59" spans="1:39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</row>
    <row r="60" spans="1:39" x14ac:dyDescent="0.2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</row>
    <row r="61" spans="1:39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</row>
    <row r="62" spans="1:39" x14ac:dyDescent="0.2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</row>
    <row r="63" spans="1:39" x14ac:dyDescent="0.2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</row>
    <row r="64" spans="1:39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</row>
    <row r="65" spans="1:39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</row>
    <row r="66" spans="1:39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</row>
    <row r="67" spans="1:39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</row>
    <row r="68" spans="1:39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</row>
    <row r="69" spans="1:39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</row>
    <row r="70" spans="1:39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</row>
    <row r="71" spans="1:39" x14ac:dyDescent="0.2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</row>
    <row r="72" spans="1:39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</row>
    <row r="73" spans="1:39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</row>
    <row r="74" spans="1:39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</row>
    <row r="75" spans="1:39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</row>
    <row r="76" spans="1:39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</row>
    <row r="77" spans="1:39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</row>
    <row r="78" spans="1:39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</row>
    <row r="79" spans="1:39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</row>
    <row r="80" spans="1:39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</row>
    <row r="81" spans="1:39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</row>
    <row r="82" spans="1:39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</row>
    <row r="83" spans="1:39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</row>
    <row r="84" spans="1:39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</row>
    <row r="85" spans="1:39" x14ac:dyDescent="0.2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</row>
    <row r="86" spans="1:39" x14ac:dyDescent="0.2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</row>
    <row r="87" spans="1:39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</row>
    <row r="88" spans="1:39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</row>
    <row r="89" spans="1:39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</row>
    <row r="90" spans="1:39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</row>
    <row r="91" spans="1:39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</row>
    <row r="92" spans="1:39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</row>
    <row r="93" spans="1:39" x14ac:dyDescent="0.2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</row>
    <row r="94" spans="1:39" x14ac:dyDescent="0.2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</row>
    <row r="95" spans="1:39" x14ac:dyDescent="0.2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</row>
    <row r="96" spans="1:39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</row>
    <row r="97" spans="1:39" x14ac:dyDescent="0.2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</row>
  </sheetData>
  <mergeCells count="6">
    <mergeCell ref="A52:B52"/>
    <mergeCell ref="A4:A5"/>
    <mergeCell ref="B4:B5"/>
    <mergeCell ref="C4:T4"/>
    <mergeCell ref="A18:B18"/>
    <mergeCell ref="A48:B48"/>
  </mergeCells>
  <pageMargins left="0.39370078740157483" right="0.39370078740157483" top="0.39370078740157483" bottom="0.39370078740157483" header="0.31496062992125984" footer="0.31496062992125984"/>
  <pageSetup paperSize="9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4"/>
  <sheetViews>
    <sheetView workbookViewId="0">
      <selection activeCell="B3" sqref="B3:B43"/>
    </sheetView>
  </sheetViews>
  <sheetFormatPr defaultRowHeight="14.15" x14ac:dyDescent="0.25"/>
  <cols>
    <col min="2" max="2" width="29.875" bestFit="1" customWidth="1"/>
    <col min="3" max="3" width="6.75" customWidth="1"/>
    <col min="4" max="21" width="3.75" customWidth="1"/>
    <col min="22" max="22" width="11.5" customWidth="1"/>
  </cols>
  <sheetData>
    <row r="1" spans="1:22" x14ac:dyDescent="0.25">
      <c r="A1" s="7"/>
      <c r="B1" s="8" t="s">
        <v>2</v>
      </c>
      <c r="C1" s="35" t="str">
        <f>Input!B3</f>
        <v>місяць згідно</v>
      </c>
      <c r="D1" s="33"/>
      <c r="E1" s="33"/>
      <c r="F1" s="33"/>
      <c r="G1" s="33"/>
      <c r="H1" s="33"/>
      <c r="I1" s="3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V1" s="39" t="str">
        <f>LEFT(C2,FIND(" ",C2)-1)</f>
        <v>місяць</v>
      </c>
    </row>
    <row r="2" spans="1:22" ht="42.4" x14ac:dyDescent="0.25">
      <c r="A2" s="9"/>
      <c r="B2" s="10" t="s">
        <v>0</v>
      </c>
      <c r="C2" s="32" t="str">
        <f>C1</f>
        <v>місяць згідно</v>
      </c>
      <c r="D2" s="25" t="str">
        <f>Input!D5</f>
        <v>товару1</v>
      </c>
      <c r="E2" s="25" t="str">
        <f>Input!E5</f>
        <v>товару2</v>
      </c>
      <c r="F2" s="25" t="str">
        <f>Input!F5</f>
        <v>товару3</v>
      </c>
      <c r="G2" s="25" t="str">
        <f>Input!G5</f>
        <v>товару4</v>
      </c>
      <c r="H2" s="25" t="str">
        <f>Input!H5</f>
        <v>товару5</v>
      </c>
      <c r="I2" s="25" t="str">
        <f>Input!I5</f>
        <v>товару6</v>
      </c>
      <c r="J2" s="25" t="str">
        <f>Input!J5</f>
        <v>товару7</v>
      </c>
      <c r="K2" s="25" t="str">
        <f>Input!K5</f>
        <v>товару8</v>
      </c>
      <c r="L2" s="25" t="str">
        <f>Input!L5</f>
        <v>товару9</v>
      </c>
      <c r="M2" s="25" t="str">
        <f>Input!M5</f>
        <v>товару10</v>
      </c>
      <c r="N2" s="25" t="str">
        <f>Input!N5</f>
        <v>товару11</v>
      </c>
      <c r="O2" s="25" t="str">
        <f>Input!O5</f>
        <v>товару12</v>
      </c>
      <c r="P2" s="25" t="str">
        <f>Input!P5</f>
        <v>товару13</v>
      </c>
      <c r="Q2" s="25" t="str">
        <f>Input!Q5</f>
        <v>товару14</v>
      </c>
      <c r="R2" s="25" t="str">
        <f>Input!R5</f>
        <v>товару15</v>
      </c>
      <c r="S2" s="25" t="str">
        <f>Input!S5</f>
        <v>товару16</v>
      </c>
      <c r="T2" s="25" t="str">
        <f>Input!T5</f>
        <v>товару17</v>
      </c>
    </row>
    <row r="3" spans="1:22" x14ac:dyDescent="0.25">
      <c r="A3" s="2">
        <v>1</v>
      </c>
      <c r="B3" s="1" t="str">
        <f>Input!W6</f>
        <v>Менеджер1</v>
      </c>
      <c r="C3" s="29">
        <f>SUM(D3:T3)</f>
        <v>17</v>
      </c>
      <c r="D3" s="27">
        <f>Input!D6</f>
        <v>17</v>
      </c>
      <c r="E3" s="27">
        <f>Input!E6</f>
        <v>0</v>
      </c>
      <c r="F3" s="27">
        <f>Input!F6</f>
        <v>0</v>
      </c>
      <c r="G3" s="27">
        <f>Input!G6</f>
        <v>0</v>
      </c>
      <c r="H3" s="27">
        <f>Input!H6</f>
        <v>0</v>
      </c>
      <c r="I3" s="27">
        <f>Input!I6</f>
        <v>0</v>
      </c>
      <c r="J3" s="27">
        <f>Input!J6</f>
        <v>0</v>
      </c>
      <c r="K3" s="27">
        <f>Input!K6</f>
        <v>0</v>
      </c>
      <c r="L3" s="27">
        <f>Input!L6</f>
        <v>0</v>
      </c>
      <c r="M3" s="27">
        <f>Input!M6</f>
        <v>0</v>
      </c>
      <c r="N3" s="27">
        <f>Input!N6</f>
        <v>0</v>
      </c>
      <c r="O3" s="27">
        <f>Input!O6</f>
        <v>0</v>
      </c>
      <c r="P3" s="27">
        <f>Input!P6</f>
        <v>0</v>
      </c>
      <c r="Q3" s="27">
        <f>Input!Q6</f>
        <v>0</v>
      </c>
      <c r="R3" s="27">
        <f>Input!R6</f>
        <v>0</v>
      </c>
      <c r="S3" s="27">
        <f>Input!S6</f>
        <v>0</v>
      </c>
      <c r="T3" s="27">
        <f>Input!T6</f>
        <v>0</v>
      </c>
    </row>
    <row r="4" spans="1:22" x14ac:dyDescent="0.25">
      <c r="A4" s="2">
        <v>2</v>
      </c>
      <c r="B4" s="1" t="str">
        <f>Input!W7</f>
        <v>Менеджер2</v>
      </c>
      <c r="C4" s="29">
        <f t="shared" ref="C4:C43" si="0">SUM(D4:T4)</f>
        <v>1</v>
      </c>
      <c r="D4" s="27">
        <f>Input!D7</f>
        <v>1</v>
      </c>
      <c r="E4" s="27">
        <f>Input!E7</f>
        <v>0</v>
      </c>
      <c r="F4" s="27">
        <f>Input!F7</f>
        <v>0</v>
      </c>
      <c r="G4" s="27">
        <f>Input!G7</f>
        <v>0</v>
      </c>
      <c r="H4" s="27">
        <f>Input!H7</f>
        <v>0</v>
      </c>
      <c r="I4" s="27">
        <f>Input!I7</f>
        <v>0</v>
      </c>
      <c r="J4" s="27">
        <f>Input!J7</f>
        <v>0</v>
      </c>
      <c r="K4" s="27">
        <f>Input!K7</f>
        <v>0</v>
      </c>
      <c r="L4" s="27">
        <f>Input!L7</f>
        <v>0</v>
      </c>
      <c r="M4" s="27">
        <f>Input!M7</f>
        <v>0</v>
      </c>
      <c r="N4" s="27">
        <f>Input!N7</f>
        <v>0</v>
      </c>
      <c r="O4" s="27">
        <f>Input!O7</f>
        <v>0</v>
      </c>
      <c r="P4" s="27">
        <f>Input!P7</f>
        <v>0</v>
      </c>
      <c r="Q4" s="27">
        <f>Input!Q7</f>
        <v>0</v>
      </c>
      <c r="R4" s="27">
        <f>Input!R7</f>
        <v>0</v>
      </c>
      <c r="S4" s="27">
        <f>Input!S7</f>
        <v>0</v>
      </c>
      <c r="T4" s="27">
        <f>Input!T7</f>
        <v>0</v>
      </c>
    </row>
    <row r="5" spans="1:22" x14ac:dyDescent="0.25">
      <c r="A5" s="2">
        <v>3</v>
      </c>
      <c r="B5" s="1" t="str">
        <f>Input!W8</f>
        <v>Менеджер3</v>
      </c>
      <c r="C5" s="29">
        <f t="shared" si="0"/>
        <v>20</v>
      </c>
      <c r="D5" s="27">
        <f>Input!D8</f>
        <v>5</v>
      </c>
      <c r="E5" s="27">
        <f>Input!E8</f>
        <v>0</v>
      </c>
      <c r="F5" s="27">
        <f>Input!F8</f>
        <v>0</v>
      </c>
      <c r="G5" s="27">
        <f>Input!G8</f>
        <v>0</v>
      </c>
      <c r="H5" s="27">
        <f>Input!H8</f>
        <v>0</v>
      </c>
      <c r="I5" s="27">
        <f>Input!I8</f>
        <v>0</v>
      </c>
      <c r="J5" s="27">
        <f>Input!J8</f>
        <v>0</v>
      </c>
      <c r="K5" s="27">
        <f>Input!K8</f>
        <v>0</v>
      </c>
      <c r="L5" s="27">
        <f>Input!L8</f>
        <v>6</v>
      </c>
      <c r="M5" s="27">
        <f>Input!M8</f>
        <v>6</v>
      </c>
      <c r="N5" s="27">
        <f>Input!N8</f>
        <v>3</v>
      </c>
      <c r="O5" s="27">
        <f>Input!O8</f>
        <v>0</v>
      </c>
      <c r="P5" s="27">
        <f>Input!P8</f>
        <v>0</v>
      </c>
      <c r="Q5" s="27">
        <f>Input!Q8</f>
        <v>0</v>
      </c>
      <c r="R5" s="27">
        <f>Input!R8</f>
        <v>0</v>
      </c>
      <c r="S5" s="27">
        <f>Input!S8</f>
        <v>0</v>
      </c>
      <c r="T5" s="27">
        <f>Input!T8</f>
        <v>0</v>
      </c>
    </row>
    <row r="6" spans="1:22" x14ac:dyDescent="0.25">
      <c r="A6" s="2">
        <v>4</v>
      </c>
      <c r="B6" s="1" t="str">
        <f>Input!W9</f>
        <v>Менеджер4</v>
      </c>
      <c r="C6" s="29">
        <f t="shared" si="0"/>
        <v>5</v>
      </c>
      <c r="D6" s="27">
        <f>Input!D9</f>
        <v>1</v>
      </c>
      <c r="E6" s="27">
        <f>Input!E9</f>
        <v>0</v>
      </c>
      <c r="F6" s="27">
        <f>Input!F9</f>
        <v>0</v>
      </c>
      <c r="G6" s="27">
        <f>Input!G9</f>
        <v>0</v>
      </c>
      <c r="H6" s="27">
        <f>Input!H9</f>
        <v>0</v>
      </c>
      <c r="I6" s="27">
        <f>Input!I9</f>
        <v>0</v>
      </c>
      <c r="J6" s="27">
        <f>Input!J9</f>
        <v>0</v>
      </c>
      <c r="K6" s="27">
        <f>Input!K9</f>
        <v>0</v>
      </c>
      <c r="L6" s="27">
        <f>Input!L9</f>
        <v>0</v>
      </c>
      <c r="M6" s="27">
        <f>Input!M9</f>
        <v>0</v>
      </c>
      <c r="N6" s="27">
        <f>Input!N9</f>
        <v>4</v>
      </c>
      <c r="O6" s="27">
        <f>Input!O9</f>
        <v>0</v>
      </c>
      <c r="P6" s="27">
        <f>Input!P9</f>
        <v>0</v>
      </c>
      <c r="Q6" s="27">
        <f>Input!Q9</f>
        <v>0</v>
      </c>
      <c r="R6" s="27">
        <f>Input!R9</f>
        <v>0</v>
      </c>
      <c r="S6" s="27">
        <f>Input!S9</f>
        <v>0</v>
      </c>
      <c r="T6" s="27">
        <f>Input!T9</f>
        <v>0</v>
      </c>
    </row>
    <row r="7" spans="1:22" x14ac:dyDescent="0.25">
      <c r="A7" s="2">
        <v>5</v>
      </c>
      <c r="B7" s="1" t="str">
        <f>Input!W10</f>
        <v>Менеджер5</v>
      </c>
      <c r="C7" s="29">
        <f t="shared" si="0"/>
        <v>12</v>
      </c>
      <c r="D7" s="27">
        <f>Input!D10</f>
        <v>1</v>
      </c>
      <c r="E7" s="27">
        <f>Input!E10</f>
        <v>0</v>
      </c>
      <c r="F7" s="27">
        <f>Input!F10</f>
        <v>0</v>
      </c>
      <c r="G7" s="27">
        <f>Input!G10</f>
        <v>0</v>
      </c>
      <c r="H7" s="27">
        <f>Input!H10</f>
        <v>0</v>
      </c>
      <c r="I7" s="27">
        <f>Input!I10</f>
        <v>0</v>
      </c>
      <c r="J7" s="27">
        <f>Input!J10</f>
        <v>0</v>
      </c>
      <c r="K7" s="27">
        <f>Input!K10</f>
        <v>6</v>
      </c>
      <c r="L7" s="27">
        <f>Input!L10</f>
        <v>0</v>
      </c>
      <c r="M7" s="27">
        <f>Input!M10</f>
        <v>0</v>
      </c>
      <c r="N7" s="27">
        <f>Input!N10</f>
        <v>5</v>
      </c>
      <c r="O7" s="27">
        <f>Input!O10</f>
        <v>0</v>
      </c>
      <c r="P7" s="27">
        <f>Input!P10</f>
        <v>0</v>
      </c>
      <c r="Q7" s="27">
        <f>Input!Q10</f>
        <v>0</v>
      </c>
      <c r="R7" s="27">
        <f>Input!R10</f>
        <v>0</v>
      </c>
      <c r="S7" s="27">
        <f>Input!S10</f>
        <v>0</v>
      </c>
      <c r="T7" s="27">
        <f>Input!T10</f>
        <v>0</v>
      </c>
    </row>
    <row r="8" spans="1:22" x14ac:dyDescent="0.25">
      <c r="A8" s="2">
        <v>6</v>
      </c>
      <c r="B8" s="1" t="str">
        <f>Input!W11</f>
        <v>Менеджер6</v>
      </c>
      <c r="C8" s="29">
        <f t="shared" si="0"/>
        <v>7</v>
      </c>
      <c r="D8" s="27">
        <f>Input!D11</f>
        <v>1</v>
      </c>
      <c r="E8" s="27">
        <f>Input!E11</f>
        <v>0</v>
      </c>
      <c r="F8" s="27">
        <f>Input!F11</f>
        <v>0</v>
      </c>
      <c r="G8" s="27">
        <f>Input!G11</f>
        <v>0</v>
      </c>
      <c r="H8" s="27">
        <f>Input!H11</f>
        <v>0</v>
      </c>
      <c r="I8" s="27">
        <f>Input!I11</f>
        <v>0</v>
      </c>
      <c r="J8" s="27">
        <f>Input!J11</f>
        <v>6</v>
      </c>
      <c r="K8" s="27">
        <f>Input!K11</f>
        <v>0</v>
      </c>
      <c r="L8" s="27">
        <f>Input!L11</f>
        <v>0</v>
      </c>
      <c r="M8" s="27">
        <f>Input!M11</f>
        <v>0</v>
      </c>
      <c r="N8" s="27">
        <f>Input!N11</f>
        <v>0</v>
      </c>
      <c r="O8" s="27">
        <f>Input!O11</f>
        <v>0</v>
      </c>
      <c r="P8" s="27">
        <f>Input!P11</f>
        <v>0</v>
      </c>
      <c r="Q8" s="27">
        <f>Input!Q11</f>
        <v>0</v>
      </c>
      <c r="R8" s="27">
        <f>Input!R11</f>
        <v>0</v>
      </c>
      <c r="S8" s="27">
        <f>Input!S11</f>
        <v>0</v>
      </c>
      <c r="T8" s="27">
        <f>Input!T11</f>
        <v>0</v>
      </c>
    </row>
    <row r="9" spans="1:22" x14ac:dyDescent="0.25">
      <c r="A9" s="2">
        <v>7</v>
      </c>
      <c r="B9" s="1" t="str">
        <f>Input!W12</f>
        <v>Менеджер7</v>
      </c>
      <c r="C9" s="29">
        <f t="shared" si="0"/>
        <v>10</v>
      </c>
      <c r="D9" s="27">
        <f>Input!D12</f>
        <v>0</v>
      </c>
      <c r="E9" s="27">
        <f>Input!E12</f>
        <v>0</v>
      </c>
      <c r="F9" s="27">
        <f>Input!F12</f>
        <v>0</v>
      </c>
      <c r="G9" s="27">
        <f>Input!G12</f>
        <v>0</v>
      </c>
      <c r="H9" s="27">
        <f>Input!H12</f>
        <v>0</v>
      </c>
      <c r="I9" s="27">
        <f>Input!I12</f>
        <v>6</v>
      </c>
      <c r="J9" s="27">
        <f>Input!J12</f>
        <v>0</v>
      </c>
      <c r="K9" s="27">
        <f>Input!K12</f>
        <v>0</v>
      </c>
      <c r="L9" s="27">
        <f>Input!L12</f>
        <v>0</v>
      </c>
      <c r="M9" s="27">
        <f>Input!M12</f>
        <v>0</v>
      </c>
      <c r="N9" s="27">
        <f>Input!N12</f>
        <v>4</v>
      </c>
      <c r="O9" s="27">
        <f>Input!O12</f>
        <v>0</v>
      </c>
      <c r="P9" s="27">
        <f>Input!P12</f>
        <v>0</v>
      </c>
      <c r="Q9" s="27">
        <f>Input!Q12</f>
        <v>0</v>
      </c>
      <c r="R9" s="27">
        <f>Input!R12</f>
        <v>0</v>
      </c>
      <c r="S9" s="27">
        <f>Input!S12</f>
        <v>0</v>
      </c>
      <c r="T9" s="27">
        <f>Input!T12</f>
        <v>0</v>
      </c>
    </row>
    <row r="10" spans="1:22" x14ac:dyDescent="0.25">
      <c r="A10" s="2">
        <v>8</v>
      </c>
      <c r="B10" s="1" t="str">
        <f>Input!W13</f>
        <v>Менеджер8</v>
      </c>
      <c r="C10" s="29">
        <f t="shared" si="0"/>
        <v>17</v>
      </c>
      <c r="D10" s="27">
        <f>Input!D13</f>
        <v>3</v>
      </c>
      <c r="E10" s="27">
        <f>Input!E13</f>
        <v>0</v>
      </c>
      <c r="F10" s="27">
        <f>Input!F13</f>
        <v>0</v>
      </c>
      <c r="G10" s="27">
        <f>Input!G13</f>
        <v>0</v>
      </c>
      <c r="H10" s="27">
        <f>Input!H13</f>
        <v>0</v>
      </c>
      <c r="I10" s="27">
        <f>Input!I13</f>
        <v>14</v>
      </c>
      <c r="J10" s="27">
        <f>Input!J13</f>
        <v>0</v>
      </c>
      <c r="K10" s="27">
        <f>Input!K13</f>
        <v>0</v>
      </c>
      <c r="L10" s="27">
        <f>Input!L13</f>
        <v>0</v>
      </c>
      <c r="M10" s="27">
        <f>Input!M13</f>
        <v>0</v>
      </c>
      <c r="N10" s="27">
        <f>Input!N13</f>
        <v>0</v>
      </c>
      <c r="O10" s="27">
        <f>Input!O13</f>
        <v>0</v>
      </c>
      <c r="P10" s="27">
        <f>Input!P13</f>
        <v>0</v>
      </c>
      <c r="Q10" s="27">
        <f>Input!Q13</f>
        <v>0</v>
      </c>
      <c r="R10" s="27">
        <f>Input!R13</f>
        <v>0</v>
      </c>
      <c r="S10" s="27">
        <f>Input!S13</f>
        <v>0</v>
      </c>
      <c r="T10" s="27">
        <f>Input!T13</f>
        <v>0</v>
      </c>
    </row>
    <row r="11" spans="1:22" x14ac:dyDescent="0.25">
      <c r="A11" s="2">
        <v>9</v>
      </c>
      <c r="B11" s="1" t="str">
        <f>Input!W14</f>
        <v>Менеджер9</v>
      </c>
      <c r="C11" s="29">
        <f t="shared" si="0"/>
        <v>5</v>
      </c>
      <c r="D11" s="27">
        <f>Input!D14</f>
        <v>0</v>
      </c>
      <c r="E11" s="27">
        <f>Input!E14</f>
        <v>0</v>
      </c>
      <c r="F11" s="27">
        <f>Input!F14</f>
        <v>0</v>
      </c>
      <c r="G11" s="27">
        <f>Input!G14</f>
        <v>0</v>
      </c>
      <c r="H11" s="27">
        <f>Input!H14</f>
        <v>5</v>
      </c>
      <c r="I11" s="27">
        <f>Input!I14</f>
        <v>0</v>
      </c>
      <c r="J11" s="27">
        <f>Input!J14</f>
        <v>0</v>
      </c>
      <c r="K11" s="27">
        <f>Input!K14</f>
        <v>0</v>
      </c>
      <c r="L11" s="27">
        <f>Input!L14</f>
        <v>0</v>
      </c>
      <c r="M11" s="27">
        <f>Input!M14</f>
        <v>0</v>
      </c>
      <c r="N11" s="27">
        <f>Input!N14</f>
        <v>0</v>
      </c>
      <c r="O11" s="27">
        <f>Input!O14</f>
        <v>0</v>
      </c>
      <c r="P11" s="27">
        <f>Input!P14</f>
        <v>0</v>
      </c>
      <c r="Q11" s="27">
        <f>Input!Q14</f>
        <v>0</v>
      </c>
      <c r="R11" s="27">
        <f>Input!R14</f>
        <v>0</v>
      </c>
      <c r="S11" s="27">
        <f>Input!S14</f>
        <v>0</v>
      </c>
      <c r="T11" s="27">
        <f>Input!T14</f>
        <v>0</v>
      </c>
    </row>
    <row r="12" spans="1:22" x14ac:dyDescent="0.25">
      <c r="A12" s="2">
        <v>10</v>
      </c>
      <c r="B12" s="1" t="str">
        <f>Input!W19</f>
        <v>Менеджер13</v>
      </c>
      <c r="C12" s="30">
        <f t="shared" si="0"/>
        <v>21</v>
      </c>
      <c r="D12" s="26">
        <f>Input!D19</f>
        <v>16</v>
      </c>
      <c r="E12" s="26">
        <f>Input!E19</f>
        <v>0</v>
      </c>
      <c r="F12" s="26">
        <f>Input!F19</f>
        <v>0</v>
      </c>
      <c r="G12" s="26">
        <f>Input!G19</f>
        <v>5</v>
      </c>
      <c r="H12" s="26">
        <f>Input!H19</f>
        <v>0</v>
      </c>
      <c r="I12" s="26">
        <f>Input!I19</f>
        <v>0</v>
      </c>
      <c r="J12" s="26">
        <f>Input!J19</f>
        <v>0</v>
      </c>
      <c r="K12" s="26">
        <f>Input!K19</f>
        <v>0</v>
      </c>
      <c r="L12" s="26">
        <f>Input!L19</f>
        <v>0</v>
      </c>
      <c r="M12" s="26">
        <f>Input!M19</f>
        <v>0</v>
      </c>
      <c r="N12" s="26">
        <f>Input!N19</f>
        <v>0</v>
      </c>
      <c r="O12" s="26">
        <f>Input!O19</f>
        <v>0</v>
      </c>
      <c r="P12" s="26">
        <f>Input!P19</f>
        <v>0</v>
      </c>
      <c r="Q12" s="26">
        <f>Input!Q19</f>
        <v>0</v>
      </c>
      <c r="R12" s="26">
        <f>Input!R19</f>
        <v>0</v>
      </c>
      <c r="S12" s="26">
        <f>Input!S19</f>
        <v>0</v>
      </c>
      <c r="T12" s="26">
        <f>Input!T19</f>
        <v>0</v>
      </c>
    </row>
    <row r="13" spans="1:22" x14ac:dyDescent="0.25">
      <c r="A13" s="2">
        <v>11</v>
      </c>
      <c r="B13" s="1" t="str">
        <f>Input!W20</f>
        <v>Менеджер14</v>
      </c>
      <c r="C13" s="30">
        <f t="shared" si="0"/>
        <v>11</v>
      </c>
      <c r="D13" s="26">
        <f>Input!D20</f>
        <v>0</v>
      </c>
      <c r="E13" s="26">
        <f>Input!E20</f>
        <v>9</v>
      </c>
      <c r="F13" s="26">
        <f>Input!F20</f>
        <v>2</v>
      </c>
      <c r="G13" s="26">
        <f>Input!G20</f>
        <v>0</v>
      </c>
      <c r="H13" s="26">
        <f>Input!H20</f>
        <v>0</v>
      </c>
      <c r="I13" s="26">
        <f>Input!I20</f>
        <v>0</v>
      </c>
      <c r="J13" s="26">
        <f>Input!J20</f>
        <v>0</v>
      </c>
      <c r="K13" s="26">
        <f>Input!K20</f>
        <v>0</v>
      </c>
      <c r="L13" s="26">
        <f>Input!L20</f>
        <v>0</v>
      </c>
      <c r="M13" s="26">
        <f>Input!M20</f>
        <v>0</v>
      </c>
      <c r="N13" s="26">
        <f>Input!N20</f>
        <v>0</v>
      </c>
      <c r="O13" s="26">
        <f>Input!O20</f>
        <v>0</v>
      </c>
      <c r="P13" s="26">
        <f>Input!P20</f>
        <v>0</v>
      </c>
      <c r="Q13" s="26">
        <f>Input!Q20</f>
        <v>0</v>
      </c>
      <c r="R13" s="26">
        <f>Input!R20</f>
        <v>0</v>
      </c>
      <c r="S13" s="26">
        <f>Input!S20</f>
        <v>0</v>
      </c>
      <c r="T13" s="26">
        <f>Input!T20</f>
        <v>0</v>
      </c>
    </row>
    <row r="14" spans="1:22" x14ac:dyDescent="0.25">
      <c r="A14" s="2">
        <v>12</v>
      </c>
      <c r="B14" s="1" t="str">
        <f>Input!W21</f>
        <v>Менеджер15</v>
      </c>
      <c r="C14" s="30">
        <f t="shared" si="0"/>
        <v>0</v>
      </c>
      <c r="D14" s="26">
        <f>Input!D21</f>
        <v>0</v>
      </c>
      <c r="E14" s="26">
        <f>Input!E21</f>
        <v>0</v>
      </c>
      <c r="F14" s="26">
        <f>Input!F21</f>
        <v>0</v>
      </c>
      <c r="G14" s="26">
        <f>Input!G21</f>
        <v>0</v>
      </c>
      <c r="H14" s="26">
        <f>Input!H21</f>
        <v>0</v>
      </c>
      <c r="I14" s="26">
        <f>Input!I21</f>
        <v>0</v>
      </c>
      <c r="J14" s="26">
        <f>Input!J21</f>
        <v>0</v>
      </c>
      <c r="K14" s="26">
        <f>Input!K21</f>
        <v>0</v>
      </c>
      <c r="L14" s="26">
        <f>Input!L21</f>
        <v>0</v>
      </c>
      <c r="M14" s="26">
        <f>Input!M21</f>
        <v>0</v>
      </c>
      <c r="N14" s="26">
        <f>Input!N21</f>
        <v>0</v>
      </c>
      <c r="O14" s="26">
        <f>Input!O21</f>
        <v>0</v>
      </c>
      <c r="P14" s="26">
        <f>Input!P21</f>
        <v>0</v>
      </c>
      <c r="Q14" s="26">
        <f>Input!Q21</f>
        <v>0</v>
      </c>
      <c r="R14" s="26">
        <f>Input!R21</f>
        <v>0</v>
      </c>
      <c r="S14" s="26">
        <f>Input!S21</f>
        <v>0</v>
      </c>
      <c r="T14" s="26">
        <f>Input!T21</f>
        <v>0</v>
      </c>
    </row>
    <row r="15" spans="1:22" x14ac:dyDescent="0.25">
      <c r="A15" s="2">
        <v>13</v>
      </c>
      <c r="B15" s="1" t="str">
        <f>Input!W22</f>
        <v>Менеджер16</v>
      </c>
      <c r="C15" s="30">
        <f t="shared" si="0"/>
        <v>0</v>
      </c>
      <c r="D15" s="26">
        <f>Input!D22</f>
        <v>0</v>
      </c>
      <c r="E15" s="26">
        <f>Input!E22</f>
        <v>0</v>
      </c>
      <c r="F15" s="26">
        <f>Input!F22</f>
        <v>0</v>
      </c>
      <c r="G15" s="26">
        <f>Input!G22</f>
        <v>0</v>
      </c>
      <c r="H15" s="26">
        <f>Input!H22</f>
        <v>0</v>
      </c>
      <c r="I15" s="26">
        <f>Input!I22</f>
        <v>0</v>
      </c>
      <c r="J15" s="26">
        <f>Input!J22</f>
        <v>0</v>
      </c>
      <c r="K15" s="26">
        <f>Input!K22</f>
        <v>0</v>
      </c>
      <c r="L15" s="26">
        <f>Input!L22</f>
        <v>0</v>
      </c>
      <c r="M15" s="26">
        <f>Input!M22</f>
        <v>0</v>
      </c>
      <c r="N15" s="26">
        <f>Input!N22</f>
        <v>0</v>
      </c>
      <c r="O15" s="26">
        <f>Input!O22</f>
        <v>0</v>
      </c>
      <c r="P15" s="26">
        <f>Input!P22</f>
        <v>0</v>
      </c>
      <c r="Q15" s="26">
        <f>Input!Q22</f>
        <v>0</v>
      </c>
      <c r="R15" s="26">
        <f>Input!R22</f>
        <v>0</v>
      </c>
      <c r="S15" s="26">
        <f>Input!S22</f>
        <v>0</v>
      </c>
      <c r="T15" s="26">
        <f>Input!T22</f>
        <v>0</v>
      </c>
    </row>
    <row r="16" spans="1:22" x14ac:dyDescent="0.25">
      <c r="A16" s="2">
        <v>14</v>
      </c>
      <c r="B16" s="1" t="str">
        <f>Input!W23</f>
        <v>Менеджер17</v>
      </c>
      <c r="C16" s="30">
        <f t="shared" si="0"/>
        <v>0</v>
      </c>
      <c r="D16" s="26">
        <f>Input!D23</f>
        <v>0</v>
      </c>
      <c r="E16" s="26">
        <f>Input!E23</f>
        <v>0</v>
      </c>
      <c r="F16" s="26">
        <f>Input!F23</f>
        <v>0</v>
      </c>
      <c r="G16" s="26">
        <f>Input!G23</f>
        <v>0</v>
      </c>
      <c r="H16" s="26">
        <f>Input!H23</f>
        <v>0</v>
      </c>
      <c r="I16" s="26">
        <f>Input!I23</f>
        <v>0</v>
      </c>
      <c r="J16" s="26">
        <f>Input!J23</f>
        <v>0</v>
      </c>
      <c r="K16" s="26">
        <f>Input!K23</f>
        <v>0</v>
      </c>
      <c r="L16" s="26">
        <f>Input!L23</f>
        <v>0</v>
      </c>
      <c r="M16" s="26">
        <f>Input!M23</f>
        <v>0</v>
      </c>
      <c r="N16" s="26">
        <f>Input!N23</f>
        <v>0</v>
      </c>
      <c r="O16" s="26">
        <f>Input!O23</f>
        <v>0</v>
      </c>
      <c r="P16" s="26">
        <f>Input!P23</f>
        <v>0</v>
      </c>
      <c r="Q16" s="26">
        <f>Input!Q23</f>
        <v>0</v>
      </c>
      <c r="R16" s="26">
        <f>Input!R23</f>
        <v>0</v>
      </c>
      <c r="S16" s="26">
        <f>Input!S23</f>
        <v>0</v>
      </c>
      <c r="T16" s="26">
        <f>Input!T23</f>
        <v>0</v>
      </c>
    </row>
    <row r="17" spans="1:20" x14ac:dyDescent="0.25">
      <c r="A17" s="2">
        <v>15</v>
      </c>
      <c r="B17" s="1" t="str">
        <f>Input!W24</f>
        <v>Менеджер18</v>
      </c>
      <c r="C17" s="30">
        <f t="shared" si="0"/>
        <v>0</v>
      </c>
      <c r="D17" s="26">
        <f>Input!D24</f>
        <v>0</v>
      </c>
      <c r="E17" s="26">
        <f>Input!E24</f>
        <v>0</v>
      </c>
      <c r="F17" s="26">
        <f>Input!F24</f>
        <v>0</v>
      </c>
      <c r="G17" s="26">
        <f>Input!G24</f>
        <v>0</v>
      </c>
      <c r="H17" s="26">
        <f>Input!H24</f>
        <v>0</v>
      </c>
      <c r="I17" s="26">
        <f>Input!I24</f>
        <v>0</v>
      </c>
      <c r="J17" s="26">
        <f>Input!J24</f>
        <v>0</v>
      </c>
      <c r="K17" s="26">
        <f>Input!K24</f>
        <v>0</v>
      </c>
      <c r="L17" s="26">
        <f>Input!L24</f>
        <v>0</v>
      </c>
      <c r="M17" s="26">
        <f>Input!M24</f>
        <v>0</v>
      </c>
      <c r="N17" s="26">
        <f>Input!N24</f>
        <v>0</v>
      </c>
      <c r="O17" s="26">
        <f>Input!O24</f>
        <v>0</v>
      </c>
      <c r="P17" s="26">
        <f>Input!P24</f>
        <v>0</v>
      </c>
      <c r="Q17" s="26">
        <f>Input!Q24</f>
        <v>0</v>
      </c>
      <c r="R17" s="26">
        <f>Input!R24</f>
        <v>0</v>
      </c>
      <c r="S17" s="26">
        <f>Input!S24</f>
        <v>0</v>
      </c>
      <c r="T17" s="26">
        <f>Input!T24</f>
        <v>0</v>
      </c>
    </row>
    <row r="18" spans="1:20" x14ac:dyDescent="0.25">
      <c r="A18" s="2">
        <v>16</v>
      </c>
      <c r="B18" s="1" t="str">
        <f>Input!W25</f>
        <v>Менеджер19</v>
      </c>
      <c r="C18" s="30">
        <f t="shared" si="0"/>
        <v>5</v>
      </c>
      <c r="D18" s="26">
        <f>Input!D25</f>
        <v>0</v>
      </c>
      <c r="E18" s="26">
        <f>Input!E25</f>
        <v>0</v>
      </c>
      <c r="F18" s="26">
        <f>Input!F25</f>
        <v>0</v>
      </c>
      <c r="G18" s="26">
        <f>Input!G25</f>
        <v>0</v>
      </c>
      <c r="H18" s="26">
        <f>Input!H25</f>
        <v>0</v>
      </c>
      <c r="I18" s="26">
        <f>Input!I25</f>
        <v>0</v>
      </c>
      <c r="J18" s="26">
        <f>Input!J25</f>
        <v>5</v>
      </c>
      <c r="K18" s="26">
        <f>Input!K25</f>
        <v>0</v>
      </c>
      <c r="L18" s="26">
        <f>Input!L25</f>
        <v>0</v>
      </c>
      <c r="M18" s="26">
        <f>Input!M25</f>
        <v>0</v>
      </c>
      <c r="N18" s="26">
        <f>Input!N25</f>
        <v>0</v>
      </c>
      <c r="O18" s="26">
        <f>Input!O25</f>
        <v>0</v>
      </c>
      <c r="P18" s="26">
        <f>Input!P25</f>
        <v>0</v>
      </c>
      <c r="Q18" s="26">
        <f>Input!Q25</f>
        <v>0</v>
      </c>
      <c r="R18" s="26">
        <f>Input!R25</f>
        <v>0</v>
      </c>
      <c r="S18" s="26">
        <f>Input!S25</f>
        <v>0</v>
      </c>
      <c r="T18" s="26">
        <f>Input!T25</f>
        <v>0</v>
      </c>
    </row>
    <row r="19" spans="1:20" x14ac:dyDescent="0.25">
      <c r="A19" s="2">
        <v>17</v>
      </c>
      <c r="B19" s="1" t="str">
        <f>Input!W26</f>
        <v>Менеджер20</v>
      </c>
      <c r="C19" s="30">
        <f t="shared" si="0"/>
        <v>0</v>
      </c>
      <c r="D19" s="26">
        <f>Input!D26</f>
        <v>0</v>
      </c>
      <c r="E19" s="26">
        <f>Input!E26</f>
        <v>0</v>
      </c>
      <c r="F19" s="26">
        <f>Input!F26</f>
        <v>0</v>
      </c>
      <c r="G19" s="26">
        <f>Input!G26</f>
        <v>0</v>
      </c>
      <c r="H19" s="26">
        <f>Input!H26</f>
        <v>0</v>
      </c>
      <c r="I19" s="26">
        <f>Input!I26</f>
        <v>0</v>
      </c>
      <c r="J19" s="26">
        <f>Input!J26</f>
        <v>0</v>
      </c>
      <c r="K19" s="26">
        <f>Input!K26</f>
        <v>0</v>
      </c>
      <c r="L19" s="26">
        <f>Input!L26</f>
        <v>0</v>
      </c>
      <c r="M19" s="26">
        <f>Input!M26</f>
        <v>0</v>
      </c>
      <c r="N19" s="26">
        <f>Input!N26</f>
        <v>0</v>
      </c>
      <c r="O19" s="26">
        <f>Input!O26</f>
        <v>0</v>
      </c>
      <c r="P19" s="26">
        <f>Input!P26</f>
        <v>0</v>
      </c>
      <c r="Q19" s="26">
        <f>Input!Q26</f>
        <v>0</v>
      </c>
      <c r="R19" s="26">
        <f>Input!R26</f>
        <v>0</v>
      </c>
      <c r="S19" s="26">
        <f>Input!S26</f>
        <v>0</v>
      </c>
      <c r="T19" s="26">
        <f>Input!T26</f>
        <v>0</v>
      </c>
    </row>
    <row r="20" spans="1:20" x14ac:dyDescent="0.25">
      <c r="A20" s="2">
        <v>18</v>
      </c>
      <c r="B20" s="1" t="str">
        <f>Input!W27</f>
        <v>Менеджер21</v>
      </c>
      <c r="C20" s="30">
        <f t="shared" si="0"/>
        <v>2</v>
      </c>
      <c r="D20" s="26">
        <f>Input!D27</f>
        <v>0</v>
      </c>
      <c r="E20" s="26">
        <f>Input!E27</f>
        <v>0</v>
      </c>
      <c r="F20" s="26">
        <f>Input!F27</f>
        <v>0</v>
      </c>
      <c r="G20" s="26">
        <f>Input!G27</f>
        <v>0</v>
      </c>
      <c r="H20" s="26">
        <f>Input!H27</f>
        <v>0</v>
      </c>
      <c r="I20" s="26">
        <f>Input!I27</f>
        <v>0</v>
      </c>
      <c r="J20" s="26">
        <f>Input!J27</f>
        <v>2</v>
      </c>
      <c r="K20" s="26">
        <f>Input!K27</f>
        <v>0</v>
      </c>
      <c r="L20" s="26">
        <f>Input!L27</f>
        <v>0</v>
      </c>
      <c r="M20" s="26">
        <f>Input!M27</f>
        <v>0</v>
      </c>
      <c r="N20" s="26">
        <f>Input!N27</f>
        <v>0</v>
      </c>
      <c r="O20" s="26">
        <f>Input!O27</f>
        <v>0</v>
      </c>
      <c r="P20" s="26">
        <f>Input!P27</f>
        <v>0</v>
      </c>
      <c r="Q20" s="26">
        <f>Input!Q27</f>
        <v>0</v>
      </c>
      <c r="R20" s="26">
        <f>Input!R27</f>
        <v>0</v>
      </c>
      <c r="S20" s="26">
        <f>Input!S27</f>
        <v>0</v>
      </c>
      <c r="T20" s="26">
        <f>Input!T27</f>
        <v>0</v>
      </c>
    </row>
    <row r="21" spans="1:20" x14ac:dyDescent="0.25">
      <c r="A21" s="2">
        <v>19</v>
      </c>
      <c r="B21" s="1" t="str">
        <f>Input!W28</f>
        <v>Менеджер22</v>
      </c>
      <c r="C21" s="30">
        <f t="shared" si="0"/>
        <v>12</v>
      </c>
      <c r="D21" s="26">
        <f>Input!D28</f>
        <v>0</v>
      </c>
      <c r="E21" s="26">
        <f>Input!E28</f>
        <v>0</v>
      </c>
      <c r="F21" s="26">
        <f>Input!F28</f>
        <v>0</v>
      </c>
      <c r="G21" s="26">
        <f>Input!G28</f>
        <v>0</v>
      </c>
      <c r="H21" s="26">
        <f>Input!H28</f>
        <v>0</v>
      </c>
      <c r="I21" s="26">
        <f>Input!I28</f>
        <v>0</v>
      </c>
      <c r="J21" s="26">
        <f>Input!J28</f>
        <v>0</v>
      </c>
      <c r="K21" s="26">
        <f>Input!K28</f>
        <v>11</v>
      </c>
      <c r="L21" s="26">
        <f>Input!L28</f>
        <v>1</v>
      </c>
      <c r="M21" s="26">
        <f>Input!M28</f>
        <v>0</v>
      </c>
      <c r="N21" s="26">
        <f>Input!N28</f>
        <v>0</v>
      </c>
      <c r="O21" s="26">
        <f>Input!O28</f>
        <v>0</v>
      </c>
      <c r="P21" s="26">
        <f>Input!P28</f>
        <v>0</v>
      </c>
      <c r="Q21" s="26">
        <f>Input!Q28</f>
        <v>0</v>
      </c>
      <c r="R21" s="26">
        <f>Input!R28</f>
        <v>0</v>
      </c>
      <c r="S21" s="26">
        <f>Input!S28</f>
        <v>0</v>
      </c>
      <c r="T21" s="26">
        <f>Input!T28</f>
        <v>0</v>
      </c>
    </row>
    <row r="22" spans="1:20" x14ac:dyDescent="0.25">
      <c r="A22" s="2">
        <v>20</v>
      </c>
      <c r="B22" s="1" t="str">
        <f>Input!W29</f>
        <v>Менеджер23</v>
      </c>
      <c r="C22" s="30">
        <f t="shared" si="0"/>
        <v>0</v>
      </c>
      <c r="D22" s="26">
        <f>Input!D29</f>
        <v>0</v>
      </c>
      <c r="E22" s="26">
        <f>Input!E29</f>
        <v>0</v>
      </c>
      <c r="F22" s="26">
        <f>Input!F29</f>
        <v>0</v>
      </c>
      <c r="G22" s="26">
        <f>Input!G29</f>
        <v>0</v>
      </c>
      <c r="H22" s="26">
        <f>Input!H29</f>
        <v>0</v>
      </c>
      <c r="I22" s="26">
        <f>Input!I29</f>
        <v>0</v>
      </c>
      <c r="J22" s="26">
        <f>Input!J29</f>
        <v>0</v>
      </c>
      <c r="K22" s="26">
        <f>Input!K29</f>
        <v>0</v>
      </c>
      <c r="L22" s="26">
        <f>Input!L29</f>
        <v>0</v>
      </c>
      <c r="M22" s="26">
        <f>Input!M29</f>
        <v>0</v>
      </c>
      <c r="N22" s="26">
        <f>Input!N29</f>
        <v>0</v>
      </c>
      <c r="O22" s="26">
        <f>Input!O29</f>
        <v>0</v>
      </c>
      <c r="P22" s="26">
        <f>Input!P29</f>
        <v>0</v>
      </c>
      <c r="Q22" s="26">
        <f>Input!Q29</f>
        <v>0</v>
      </c>
      <c r="R22" s="26">
        <f>Input!R29</f>
        <v>0</v>
      </c>
      <c r="S22" s="26">
        <f>Input!S29</f>
        <v>0</v>
      </c>
      <c r="T22" s="26">
        <f>Input!T29</f>
        <v>0</v>
      </c>
    </row>
    <row r="23" spans="1:20" x14ac:dyDescent="0.25">
      <c r="A23" s="2">
        <v>21</v>
      </c>
      <c r="B23" s="1" t="str">
        <f>Input!W30</f>
        <v>Менеджер24</v>
      </c>
      <c r="C23" s="30">
        <f t="shared" si="0"/>
        <v>0</v>
      </c>
      <c r="D23" s="26">
        <f>Input!D30</f>
        <v>0</v>
      </c>
      <c r="E23" s="26">
        <f>Input!E30</f>
        <v>0</v>
      </c>
      <c r="F23" s="26">
        <f>Input!F30</f>
        <v>0</v>
      </c>
      <c r="G23" s="26">
        <f>Input!G30</f>
        <v>0</v>
      </c>
      <c r="H23" s="26">
        <f>Input!H30</f>
        <v>0</v>
      </c>
      <c r="I23" s="26">
        <f>Input!I30</f>
        <v>0</v>
      </c>
      <c r="J23" s="26">
        <f>Input!J30</f>
        <v>0</v>
      </c>
      <c r="K23" s="26">
        <f>Input!K30</f>
        <v>0</v>
      </c>
      <c r="L23" s="26">
        <f>Input!L30</f>
        <v>0</v>
      </c>
      <c r="M23" s="26">
        <f>Input!M30</f>
        <v>0</v>
      </c>
      <c r="N23" s="26">
        <f>Input!N30</f>
        <v>0</v>
      </c>
      <c r="O23" s="26">
        <f>Input!O30</f>
        <v>0</v>
      </c>
      <c r="P23" s="26">
        <f>Input!P30</f>
        <v>0</v>
      </c>
      <c r="Q23" s="26">
        <f>Input!Q30</f>
        <v>0</v>
      </c>
      <c r="R23" s="26">
        <f>Input!R30</f>
        <v>0</v>
      </c>
      <c r="S23" s="26">
        <f>Input!S30</f>
        <v>0</v>
      </c>
      <c r="T23" s="26">
        <f>Input!T30</f>
        <v>0</v>
      </c>
    </row>
    <row r="24" spans="1:20" x14ac:dyDescent="0.25">
      <c r="A24" s="2">
        <v>22</v>
      </c>
      <c r="B24" s="1" t="str">
        <f>Input!W31</f>
        <v>Менеджер25</v>
      </c>
      <c r="C24" s="30">
        <f t="shared" si="0"/>
        <v>9</v>
      </c>
      <c r="D24" s="26">
        <f>Input!D31</f>
        <v>0</v>
      </c>
      <c r="E24" s="26">
        <f>Input!E31</f>
        <v>0</v>
      </c>
      <c r="F24" s="26">
        <f>Input!F31</f>
        <v>9</v>
      </c>
      <c r="G24" s="26">
        <f>Input!G31</f>
        <v>0</v>
      </c>
      <c r="H24" s="26">
        <f>Input!H31</f>
        <v>0</v>
      </c>
      <c r="I24" s="26">
        <f>Input!I31</f>
        <v>0</v>
      </c>
      <c r="J24" s="26">
        <f>Input!J31</f>
        <v>0</v>
      </c>
      <c r="K24" s="26">
        <f>Input!K31</f>
        <v>0</v>
      </c>
      <c r="L24" s="26">
        <f>Input!L31</f>
        <v>0</v>
      </c>
      <c r="M24" s="26">
        <f>Input!M31</f>
        <v>0</v>
      </c>
      <c r="N24" s="26">
        <f>Input!N31</f>
        <v>0</v>
      </c>
      <c r="O24" s="26">
        <f>Input!O31</f>
        <v>0</v>
      </c>
      <c r="P24" s="26">
        <f>Input!P31</f>
        <v>0</v>
      </c>
      <c r="Q24" s="26">
        <f>Input!Q31</f>
        <v>0</v>
      </c>
      <c r="R24" s="26">
        <f>Input!R31</f>
        <v>0</v>
      </c>
      <c r="S24" s="26">
        <f>Input!S31</f>
        <v>0</v>
      </c>
      <c r="T24" s="26">
        <f>Input!T31</f>
        <v>0</v>
      </c>
    </row>
    <row r="25" spans="1:20" x14ac:dyDescent="0.25">
      <c r="A25" s="2">
        <v>23</v>
      </c>
      <c r="B25" s="1" t="str">
        <f>Input!W32</f>
        <v>Менеджер26</v>
      </c>
      <c r="C25" s="30">
        <f t="shared" si="0"/>
        <v>0</v>
      </c>
      <c r="D25" s="26">
        <f>Input!D32</f>
        <v>0</v>
      </c>
      <c r="E25" s="26">
        <f>Input!E32</f>
        <v>0</v>
      </c>
      <c r="F25" s="26">
        <f>Input!F32</f>
        <v>0</v>
      </c>
      <c r="G25" s="26">
        <f>Input!G32</f>
        <v>0</v>
      </c>
      <c r="H25" s="26">
        <f>Input!H32</f>
        <v>0</v>
      </c>
      <c r="I25" s="26">
        <f>Input!I32</f>
        <v>0</v>
      </c>
      <c r="J25" s="26">
        <f>Input!J32</f>
        <v>0</v>
      </c>
      <c r="K25" s="26">
        <f>Input!K32</f>
        <v>0</v>
      </c>
      <c r="L25" s="26">
        <f>Input!L32</f>
        <v>0</v>
      </c>
      <c r="M25" s="26">
        <f>Input!M32</f>
        <v>0</v>
      </c>
      <c r="N25" s="26">
        <f>Input!N32</f>
        <v>0</v>
      </c>
      <c r="O25" s="26">
        <f>Input!O32</f>
        <v>0</v>
      </c>
      <c r="P25" s="26">
        <f>Input!P32</f>
        <v>0</v>
      </c>
      <c r="Q25" s="26">
        <f>Input!Q32</f>
        <v>0</v>
      </c>
      <c r="R25" s="26">
        <f>Input!R32</f>
        <v>0</v>
      </c>
      <c r="S25" s="26">
        <f>Input!S32</f>
        <v>0</v>
      </c>
      <c r="T25" s="26">
        <f>Input!T32</f>
        <v>0</v>
      </c>
    </row>
    <row r="26" spans="1:20" x14ac:dyDescent="0.25">
      <c r="A26" s="2">
        <v>24</v>
      </c>
      <c r="B26" s="1" t="str">
        <f>Input!W33</f>
        <v>Менеджер27</v>
      </c>
      <c r="C26" s="30">
        <f t="shared" si="0"/>
        <v>0</v>
      </c>
      <c r="D26" s="26">
        <f>Input!D33</f>
        <v>0</v>
      </c>
      <c r="E26" s="26">
        <f>Input!E33</f>
        <v>0</v>
      </c>
      <c r="F26" s="26">
        <f>Input!F33</f>
        <v>0</v>
      </c>
      <c r="G26" s="26">
        <f>Input!G33</f>
        <v>0</v>
      </c>
      <c r="H26" s="26">
        <f>Input!H33</f>
        <v>0</v>
      </c>
      <c r="I26" s="26">
        <f>Input!I33</f>
        <v>0</v>
      </c>
      <c r="J26" s="26">
        <f>Input!J33</f>
        <v>0</v>
      </c>
      <c r="K26" s="26">
        <f>Input!K33</f>
        <v>0</v>
      </c>
      <c r="L26" s="26">
        <f>Input!L33</f>
        <v>0</v>
      </c>
      <c r="M26" s="26">
        <f>Input!M33</f>
        <v>0</v>
      </c>
      <c r="N26" s="26">
        <f>Input!N33</f>
        <v>0</v>
      </c>
      <c r="O26" s="26">
        <f>Input!O33</f>
        <v>0</v>
      </c>
      <c r="P26" s="26">
        <f>Input!P33</f>
        <v>0</v>
      </c>
      <c r="Q26" s="26">
        <f>Input!Q33</f>
        <v>0</v>
      </c>
      <c r="R26" s="26">
        <f>Input!R33</f>
        <v>0</v>
      </c>
      <c r="S26" s="26">
        <f>Input!S33</f>
        <v>0</v>
      </c>
      <c r="T26" s="26">
        <f>Input!T33</f>
        <v>0</v>
      </c>
    </row>
    <row r="27" spans="1:20" x14ac:dyDescent="0.25">
      <c r="A27" s="2">
        <v>25</v>
      </c>
      <c r="B27" s="1" t="str">
        <f>Input!W34</f>
        <v>Менеджер28</v>
      </c>
      <c r="C27" s="30">
        <f t="shared" si="0"/>
        <v>0</v>
      </c>
      <c r="D27" s="26">
        <f>Input!D34</f>
        <v>0</v>
      </c>
      <c r="E27" s="26">
        <f>Input!E34</f>
        <v>0</v>
      </c>
      <c r="F27" s="26">
        <f>Input!F34</f>
        <v>0</v>
      </c>
      <c r="G27" s="26">
        <f>Input!G34</f>
        <v>0</v>
      </c>
      <c r="H27" s="26">
        <f>Input!H34</f>
        <v>0</v>
      </c>
      <c r="I27" s="26">
        <f>Input!I34</f>
        <v>0</v>
      </c>
      <c r="J27" s="26">
        <f>Input!J34</f>
        <v>0</v>
      </c>
      <c r="K27" s="26">
        <f>Input!K34</f>
        <v>0</v>
      </c>
      <c r="L27" s="26">
        <f>Input!L34</f>
        <v>0</v>
      </c>
      <c r="M27" s="26">
        <f>Input!M34</f>
        <v>0</v>
      </c>
      <c r="N27" s="26">
        <f>Input!N34</f>
        <v>0</v>
      </c>
      <c r="O27" s="26">
        <f>Input!O34</f>
        <v>0</v>
      </c>
      <c r="P27" s="26">
        <f>Input!P34</f>
        <v>0</v>
      </c>
      <c r="Q27" s="26">
        <f>Input!Q34</f>
        <v>0</v>
      </c>
      <c r="R27" s="26">
        <f>Input!R34</f>
        <v>0</v>
      </c>
      <c r="S27" s="26">
        <f>Input!S34</f>
        <v>0</v>
      </c>
      <c r="T27" s="26">
        <f>Input!T34</f>
        <v>0</v>
      </c>
    </row>
    <row r="28" spans="1:20" x14ac:dyDescent="0.25">
      <c r="A28" s="2">
        <v>26</v>
      </c>
      <c r="B28" s="1" t="str">
        <f>Input!W35</f>
        <v>Менеджер29</v>
      </c>
      <c r="C28" s="30">
        <f t="shared" si="0"/>
        <v>0</v>
      </c>
      <c r="D28" s="26">
        <f>Input!D35</f>
        <v>0</v>
      </c>
      <c r="E28" s="26">
        <f>Input!E35</f>
        <v>0</v>
      </c>
      <c r="F28" s="26">
        <f>Input!F35</f>
        <v>0</v>
      </c>
      <c r="G28" s="26">
        <f>Input!G35</f>
        <v>0</v>
      </c>
      <c r="H28" s="26">
        <f>Input!H35</f>
        <v>0</v>
      </c>
      <c r="I28" s="26">
        <f>Input!I35</f>
        <v>0</v>
      </c>
      <c r="J28" s="26">
        <f>Input!J35</f>
        <v>0</v>
      </c>
      <c r="K28" s="26">
        <f>Input!K35</f>
        <v>0</v>
      </c>
      <c r="L28" s="26">
        <f>Input!L35</f>
        <v>0</v>
      </c>
      <c r="M28" s="26">
        <f>Input!M35</f>
        <v>0</v>
      </c>
      <c r="N28" s="26">
        <f>Input!N35</f>
        <v>0</v>
      </c>
      <c r="O28" s="26">
        <f>Input!O35</f>
        <v>0</v>
      </c>
      <c r="P28" s="26">
        <f>Input!P35</f>
        <v>0</v>
      </c>
      <c r="Q28" s="26">
        <f>Input!Q35</f>
        <v>0</v>
      </c>
      <c r="R28" s="26">
        <f>Input!R35</f>
        <v>0</v>
      </c>
      <c r="S28" s="26">
        <f>Input!S35</f>
        <v>0</v>
      </c>
      <c r="T28" s="26">
        <f>Input!T35</f>
        <v>0</v>
      </c>
    </row>
    <row r="29" spans="1:20" x14ac:dyDescent="0.25">
      <c r="A29" s="2">
        <v>27</v>
      </c>
      <c r="B29" s="1" t="str">
        <f>Input!W36</f>
        <v>Менеджер30</v>
      </c>
      <c r="C29" s="30">
        <f t="shared" si="0"/>
        <v>0</v>
      </c>
      <c r="D29" s="26">
        <f>Input!D36</f>
        <v>0</v>
      </c>
      <c r="E29" s="26">
        <f>Input!E36</f>
        <v>0</v>
      </c>
      <c r="F29" s="26">
        <f>Input!F36</f>
        <v>0</v>
      </c>
      <c r="G29" s="26">
        <f>Input!G36</f>
        <v>0</v>
      </c>
      <c r="H29" s="26">
        <f>Input!H36</f>
        <v>0</v>
      </c>
      <c r="I29" s="26">
        <f>Input!I36</f>
        <v>0</v>
      </c>
      <c r="J29" s="26">
        <f>Input!J36</f>
        <v>0</v>
      </c>
      <c r="K29" s="26">
        <f>Input!K36</f>
        <v>0</v>
      </c>
      <c r="L29" s="26">
        <f>Input!L36</f>
        <v>0</v>
      </c>
      <c r="M29" s="26">
        <f>Input!M36</f>
        <v>0</v>
      </c>
      <c r="N29" s="26">
        <f>Input!N36</f>
        <v>0</v>
      </c>
      <c r="O29" s="26">
        <f>Input!O36</f>
        <v>0</v>
      </c>
      <c r="P29" s="26">
        <f>Input!P36</f>
        <v>0</v>
      </c>
      <c r="Q29" s="26">
        <f>Input!Q36</f>
        <v>0</v>
      </c>
      <c r="R29" s="26">
        <f>Input!R36</f>
        <v>0</v>
      </c>
      <c r="S29" s="26">
        <f>Input!S36</f>
        <v>0</v>
      </c>
      <c r="T29" s="26">
        <f>Input!T36</f>
        <v>0</v>
      </c>
    </row>
    <row r="30" spans="1:20" x14ac:dyDescent="0.25">
      <c r="A30" s="2">
        <v>28</v>
      </c>
      <c r="B30" s="1" t="str">
        <f>Input!W37</f>
        <v>Менеджер31</v>
      </c>
      <c r="C30" s="30">
        <f t="shared" si="0"/>
        <v>0</v>
      </c>
      <c r="D30" s="26">
        <f>Input!D37</f>
        <v>0</v>
      </c>
      <c r="E30" s="26">
        <f>Input!E37</f>
        <v>0</v>
      </c>
      <c r="F30" s="26">
        <f>Input!F37</f>
        <v>0</v>
      </c>
      <c r="G30" s="26">
        <f>Input!G37</f>
        <v>0</v>
      </c>
      <c r="H30" s="26">
        <f>Input!H37</f>
        <v>0</v>
      </c>
      <c r="I30" s="26">
        <f>Input!I37</f>
        <v>0</v>
      </c>
      <c r="J30" s="26">
        <f>Input!J37</f>
        <v>0</v>
      </c>
      <c r="K30" s="26">
        <f>Input!K37</f>
        <v>0</v>
      </c>
      <c r="L30" s="26">
        <f>Input!L37</f>
        <v>0</v>
      </c>
      <c r="M30" s="26">
        <f>Input!M37</f>
        <v>0</v>
      </c>
      <c r="N30" s="26">
        <f>Input!N37</f>
        <v>0</v>
      </c>
      <c r="O30" s="26">
        <f>Input!O37</f>
        <v>0</v>
      </c>
      <c r="P30" s="26">
        <f>Input!P37</f>
        <v>0</v>
      </c>
      <c r="Q30" s="26">
        <f>Input!Q37</f>
        <v>0</v>
      </c>
      <c r="R30" s="26">
        <f>Input!R37</f>
        <v>0</v>
      </c>
      <c r="S30" s="26">
        <f>Input!S37</f>
        <v>0</v>
      </c>
      <c r="T30" s="26">
        <f>Input!T37</f>
        <v>0</v>
      </c>
    </row>
    <row r="31" spans="1:20" x14ac:dyDescent="0.25">
      <c r="A31" s="2">
        <v>29</v>
      </c>
      <c r="B31" s="1" t="str">
        <f>Input!W38</f>
        <v>Менеджер32</v>
      </c>
      <c r="C31" s="30">
        <f t="shared" si="0"/>
        <v>0</v>
      </c>
      <c r="D31" s="26">
        <f>Input!D38</f>
        <v>0</v>
      </c>
      <c r="E31" s="26">
        <f>Input!E38</f>
        <v>0</v>
      </c>
      <c r="F31" s="26">
        <f>Input!F38</f>
        <v>0</v>
      </c>
      <c r="G31" s="26">
        <f>Input!G38</f>
        <v>0</v>
      </c>
      <c r="H31" s="26">
        <f>Input!H38</f>
        <v>0</v>
      </c>
      <c r="I31" s="26">
        <f>Input!I38</f>
        <v>0</v>
      </c>
      <c r="J31" s="26">
        <f>Input!J38</f>
        <v>0</v>
      </c>
      <c r="K31" s="26">
        <f>Input!K38</f>
        <v>0</v>
      </c>
      <c r="L31" s="26">
        <f>Input!L38</f>
        <v>0</v>
      </c>
      <c r="M31" s="26">
        <f>Input!M38</f>
        <v>0</v>
      </c>
      <c r="N31" s="26">
        <f>Input!N38</f>
        <v>0</v>
      </c>
      <c r="O31" s="26">
        <f>Input!O38</f>
        <v>0</v>
      </c>
      <c r="P31" s="26">
        <f>Input!P38</f>
        <v>0</v>
      </c>
      <c r="Q31" s="26">
        <f>Input!Q38</f>
        <v>0</v>
      </c>
      <c r="R31" s="26">
        <f>Input!R38</f>
        <v>0</v>
      </c>
      <c r="S31" s="26">
        <f>Input!S38</f>
        <v>0</v>
      </c>
      <c r="T31" s="26">
        <f>Input!T38</f>
        <v>0</v>
      </c>
    </row>
    <row r="32" spans="1:20" x14ac:dyDescent="0.25">
      <c r="A32" s="2">
        <v>30</v>
      </c>
      <c r="B32" s="1" t="str">
        <f>Input!W39</f>
        <v>Менеджер33</v>
      </c>
      <c r="C32" s="30">
        <f t="shared" si="0"/>
        <v>0</v>
      </c>
      <c r="D32" s="26">
        <f>Input!D39</f>
        <v>0</v>
      </c>
      <c r="E32" s="26">
        <f>Input!E39</f>
        <v>0</v>
      </c>
      <c r="F32" s="26">
        <f>Input!F39</f>
        <v>0</v>
      </c>
      <c r="G32" s="26">
        <f>Input!G39</f>
        <v>0</v>
      </c>
      <c r="H32" s="26">
        <f>Input!H39</f>
        <v>0</v>
      </c>
      <c r="I32" s="26">
        <f>Input!I39</f>
        <v>0</v>
      </c>
      <c r="J32" s="26">
        <f>Input!J39</f>
        <v>0</v>
      </c>
      <c r="K32" s="26">
        <f>Input!K39</f>
        <v>0</v>
      </c>
      <c r="L32" s="26">
        <f>Input!L39</f>
        <v>0</v>
      </c>
      <c r="M32" s="26">
        <f>Input!M39</f>
        <v>0</v>
      </c>
      <c r="N32" s="26">
        <f>Input!N39</f>
        <v>0</v>
      </c>
      <c r="O32" s="26">
        <f>Input!O39</f>
        <v>0</v>
      </c>
      <c r="P32" s="26">
        <f>Input!P39</f>
        <v>0</v>
      </c>
      <c r="Q32" s="26">
        <f>Input!Q39</f>
        <v>0</v>
      </c>
      <c r="R32" s="26">
        <f>Input!R39</f>
        <v>0</v>
      </c>
      <c r="S32" s="26">
        <f>Input!S39</f>
        <v>0</v>
      </c>
      <c r="T32" s="26">
        <f>Input!T39</f>
        <v>0</v>
      </c>
    </row>
    <row r="33" spans="1:20" x14ac:dyDescent="0.25">
      <c r="A33" s="2">
        <v>31</v>
      </c>
      <c r="B33" s="1" t="str">
        <f>Input!W40</f>
        <v>Менеджер34</v>
      </c>
      <c r="C33" s="30">
        <f t="shared" si="0"/>
        <v>0</v>
      </c>
      <c r="D33" s="26">
        <f>Input!D40</f>
        <v>0</v>
      </c>
      <c r="E33" s="26">
        <f>Input!E40</f>
        <v>0</v>
      </c>
      <c r="F33" s="26">
        <f>Input!F40</f>
        <v>0</v>
      </c>
      <c r="G33" s="26">
        <f>Input!G40</f>
        <v>0</v>
      </c>
      <c r="H33" s="26">
        <f>Input!H40</f>
        <v>0</v>
      </c>
      <c r="I33" s="26">
        <f>Input!I40</f>
        <v>0</v>
      </c>
      <c r="J33" s="26">
        <f>Input!J40</f>
        <v>0</v>
      </c>
      <c r="K33" s="26">
        <f>Input!K40</f>
        <v>0</v>
      </c>
      <c r="L33" s="26">
        <f>Input!L40</f>
        <v>0</v>
      </c>
      <c r="M33" s="26">
        <f>Input!M40</f>
        <v>0</v>
      </c>
      <c r="N33" s="26">
        <f>Input!N40</f>
        <v>0</v>
      </c>
      <c r="O33" s="26">
        <f>Input!O40</f>
        <v>0</v>
      </c>
      <c r="P33" s="26">
        <f>Input!P40</f>
        <v>0</v>
      </c>
      <c r="Q33" s="26">
        <f>Input!Q40</f>
        <v>0</v>
      </c>
      <c r="R33" s="26">
        <f>Input!R40</f>
        <v>0</v>
      </c>
      <c r="S33" s="26">
        <f>Input!S40</f>
        <v>0</v>
      </c>
      <c r="T33" s="26">
        <f>Input!T40</f>
        <v>0</v>
      </c>
    </row>
    <row r="34" spans="1:20" x14ac:dyDescent="0.25">
      <c r="A34" s="2">
        <v>32</v>
      </c>
      <c r="B34" s="1" t="str">
        <f>Input!W41</f>
        <v>Менеджер35</v>
      </c>
      <c r="C34" s="30">
        <f t="shared" si="0"/>
        <v>0</v>
      </c>
      <c r="D34" s="26">
        <f>Input!D41</f>
        <v>0</v>
      </c>
      <c r="E34" s="26">
        <f>Input!E41</f>
        <v>0</v>
      </c>
      <c r="F34" s="26">
        <f>Input!F41</f>
        <v>0</v>
      </c>
      <c r="G34" s="26">
        <f>Input!G41</f>
        <v>0</v>
      </c>
      <c r="H34" s="26">
        <f>Input!H41</f>
        <v>0</v>
      </c>
      <c r="I34" s="26">
        <f>Input!I41</f>
        <v>0</v>
      </c>
      <c r="J34" s="26">
        <f>Input!J41</f>
        <v>0</v>
      </c>
      <c r="K34" s="26">
        <f>Input!K41</f>
        <v>0</v>
      </c>
      <c r="L34" s="26">
        <f>Input!L41</f>
        <v>0</v>
      </c>
      <c r="M34" s="26">
        <f>Input!M41</f>
        <v>0</v>
      </c>
      <c r="N34" s="26">
        <f>Input!N41</f>
        <v>0</v>
      </c>
      <c r="O34" s="26">
        <f>Input!O41</f>
        <v>0</v>
      </c>
      <c r="P34" s="26">
        <f>Input!P41</f>
        <v>0</v>
      </c>
      <c r="Q34" s="26">
        <f>Input!Q41</f>
        <v>0</v>
      </c>
      <c r="R34" s="26">
        <f>Input!R41</f>
        <v>0</v>
      </c>
      <c r="S34" s="26">
        <f>Input!S41</f>
        <v>0</v>
      </c>
      <c r="T34" s="26">
        <f>Input!T41</f>
        <v>0</v>
      </c>
    </row>
    <row r="35" spans="1:20" x14ac:dyDescent="0.25">
      <c r="A35" s="2">
        <v>33</v>
      </c>
      <c r="B35" s="1" t="str">
        <f>Input!W42</f>
        <v>Менеджер36</v>
      </c>
      <c r="C35" s="30">
        <f t="shared" si="0"/>
        <v>0</v>
      </c>
      <c r="D35" s="26">
        <f>Input!D42</f>
        <v>0</v>
      </c>
      <c r="E35" s="26">
        <f>Input!E42</f>
        <v>0</v>
      </c>
      <c r="F35" s="26">
        <f>Input!F42</f>
        <v>0</v>
      </c>
      <c r="G35" s="26">
        <f>Input!G42</f>
        <v>0</v>
      </c>
      <c r="H35" s="26">
        <f>Input!H42</f>
        <v>0</v>
      </c>
      <c r="I35" s="26">
        <f>Input!I42</f>
        <v>0</v>
      </c>
      <c r="J35" s="26">
        <f>Input!J42</f>
        <v>0</v>
      </c>
      <c r="K35" s="26">
        <f>Input!K42</f>
        <v>0</v>
      </c>
      <c r="L35" s="26">
        <f>Input!L42</f>
        <v>0</v>
      </c>
      <c r="M35" s="26">
        <f>Input!M42</f>
        <v>0</v>
      </c>
      <c r="N35" s="26">
        <f>Input!N42</f>
        <v>0</v>
      </c>
      <c r="O35" s="26">
        <f>Input!O42</f>
        <v>0</v>
      </c>
      <c r="P35" s="26">
        <f>Input!P42</f>
        <v>0</v>
      </c>
      <c r="Q35" s="26">
        <f>Input!Q42</f>
        <v>0</v>
      </c>
      <c r="R35" s="26">
        <f>Input!R42</f>
        <v>0</v>
      </c>
      <c r="S35" s="26">
        <f>Input!S42</f>
        <v>0</v>
      </c>
      <c r="T35" s="26">
        <f>Input!T42</f>
        <v>0</v>
      </c>
    </row>
    <row r="36" spans="1:20" x14ac:dyDescent="0.25">
      <c r="A36" s="2">
        <v>34</v>
      </c>
      <c r="B36" s="1" t="str">
        <f>Input!W43</f>
        <v>Менеджер37</v>
      </c>
      <c r="C36" s="30">
        <f t="shared" si="0"/>
        <v>0</v>
      </c>
      <c r="D36" s="26">
        <f>Input!D43</f>
        <v>0</v>
      </c>
      <c r="E36" s="26">
        <f>Input!E43</f>
        <v>0</v>
      </c>
      <c r="F36" s="26">
        <f>Input!F43</f>
        <v>0</v>
      </c>
      <c r="G36" s="26">
        <f>Input!G43</f>
        <v>0</v>
      </c>
      <c r="H36" s="26">
        <f>Input!H43</f>
        <v>0</v>
      </c>
      <c r="I36" s="26">
        <f>Input!I43</f>
        <v>0</v>
      </c>
      <c r="J36" s="26">
        <f>Input!J43</f>
        <v>0</v>
      </c>
      <c r="K36" s="26">
        <f>Input!K43</f>
        <v>0</v>
      </c>
      <c r="L36" s="26">
        <f>Input!L43</f>
        <v>0</v>
      </c>
      <c r="M36" s="26">
        <f>Input!M43</f>
        <v>0</v>
      </c>
      <c r="N36" s="26">
        <f>Input!N43</f>
        <v>0</v>
      </c>
      <c r="O36" s="26">
        <f>Input!O43</f>
        <v>0</v>
      </c>
      <c r="P36" s="26">
        <f>Input!P43</f>
        <v>0</v>
      </c>
      <c r="Q36" s="26">
        <f>Input!Q43</f>
        <v>0</v>
      </c>
      <c r="R36" s="26">
        <f>Input!R43</f>
        <v>0</v>
      </c>
      <c r="S36" s="26">
        <f>Input!S43</f>
        <v>0</v>
      </c>
      <c r="T36" s="26">
        <f>Input!T43</f>
        <v>0</v>
      </c>
    </row>
    <row r="37" spans="1:20" x14ac:dyDescent="0.25">
      <c r="A37" s="2">
        <v>35</v>
      </c>
      <c r="B37" s="1" t="str">
        <f>Input!W44</f>
        <v>Менеджер38</v>
      </c>
      <c r="C37" s="30">
        <f t="shared" si="0"/>
        <v>0</v>
      </c>
      <c r="D37" s="26">
        <f>Input!D44</f>
        <v>0</v>
      </c>
      <c r="E37" s="26">
        <f>Input!E44</f>
        <v>0</v>
      </c>
      <c r="F37" s="26">
        <f>Input!F44</f>
        <v>0</v>
      </c>
      <c r="G37" s="26">
        <f>Input!G44</f>
        <v>0</v>
      </c>
      <c r="H37" s="26">
        <f>Input!H44</f>
        <v>0</v>
      </c>
      <c r="I37" s="26">
        <f>Input!I44</f>
        <v>0</v>
      </c>
      <c r="J37" s="26">
        <f>Input!J44</f>
        <v>0</v>
      </c>
      <c r="K37" s="26">
        <f>Input!K44</f>
        <v>0</v>
      </c>
      <c r="L37" s="26">
        <f>Input!L44</f>
        <v>0</v>
      </c>
      <c r="M37" s="26">
        <f>Input!M44</f>
        <v>0</v>
      </c>
      <c r="N37" s="26">
        <f>Input!N44</f>
        <v>0</v>
      </c>
      <c r="O37" s="26">
        <f>Input!O44</f>
        <v>0</v>
      </c>
      <c r="P37" s="26">
        <f>Input!P44</f>
        <v>0</v>
      </c>
      <c r="Q37" s="26">
        <f>Input!Q44</f>
        <v>0</v>
      </c>
      <c r="R37" s="26">
        <f>Input!R44</f>
        <v>0</v>
      </c>
      <c r="S37" s="26">
        <f>Input!S44</f>
        <v>0</v>
      </c>
      <c r="T37" s="26">
        <f>Input!T44</f>
        <v>0</v>
      </c>
    </row>
    <row r="38" spans="1:20" x14ac:dyDescent="0.25">
      <c r="A38" s="2">
        <v>36</v>
      </c>
      <c r="B38" s="1" t="str">
        <f>Input!W45</f>
        <v>Менеджер39</v>
      </c>
      <c r="C38" s="30">
        <f t="shared" si="0"/>
        <v>0</v>
      </c>
      <c r="D38" s="26">
        <f>Input!D45</f>
        <v>0</v>
      </c>
      <c r="E38" s="26">
        <f>Input!E45</f>
        <v>0</v>
      </c>
      <c r="F38" s="26">
        <f>Input!F45</f>
        <v>0</v>
      </c>
      <c r="G38" s="26">
        <f>Input!G45</f>
        <v>0</v>
      </c>
      <c r="H38" s="26">
        <f>Input!H45</f>
        <v>0</v>
      </c>
      <c r="I38" s="26">
        <f>Input!I45</f>
        <v>0</v>
      </c>
      <c r="J38" s="26">
        <f>Input!J45</f>
        <v>0</v>
      </c>
      <c r="K38" s="26">
        <f>Input!K45</f>
        <v>0</v>
      </c>
      <c r="L38" s="26">
        <f>Input!L45</f>
        <v>0</v>
      </c>
      <c r="M38" s="26">
        <f>Input!M45</f>
        <v>0</v>
      </c>
      <c r="N38" s="26">
        <f>Input!N45</f>
        <v>0</v>
      </c>
      <c r="O38" s="26">
        <f>Input!O45</f>
        <v>0</v>
      </c>
      <c r="P38" s="26">
        <f>Input!P45</f>
        <v>0</v>
      </c>
      <c r="Q38" s="26">
        <f>Input!Q45</f>
        <v>0</v>
      </c>
      <c r="R38" s="26">
        <f>Input!R45</f>
        <v>0</v>
      </c>
      <c r="S38" s="26">
        <f>Input!S45</f>
        <v>0</v>
      </c>
      <c r="T38" s="26">
        <f>Input!T45</f>
        <v>0</v>
      </c>
    </row>
    <row r="39" spans="1:20" x14ac:dyDescent="0.25">
      <c r="A39" s="2">
        <v>37</v>
      </c>
      <c r="B39" s="1" t="str">
        <f>Input!W46</f>
        <v>Менеджер40</v>
      </c>
      <c r="C39" s="30">
        <f t="shared" si="0"/>
        <v>0</v>
      </c>
      <c r="D39" s="26">
        <f>Input!D46</f>
        <v>0</v>
      </c>
      <c r="E39" s="26">
        <f>Input!E46</f>
        <v>0</v>
      </c>
      <c r="F39" s="26">
        <f>Input!F46</f>
        <v>0</v>
      </c>
      <c r="G39" s="26">
        <f>Input!G46</f>
        <v>0</v>
      </c>
      <c r="H39" s="26">
        <f>Input!H46</f>
        <v>0</v>
      </c>
      <c r="I39" s="26">
        <f>Input!I46</f>
        <v>0</v>
      </c>
      <c r="J39" s="26">
        <f>Input!J46</f>
        <v>0</v>
      </c>
      <c r="K39" s="26">
        <f>Input!K46</f>
        <v>0</v>
      </c>
      <c r="L39" s="26">
        <f>Input!L46</f>
        <v>0</v>
      </c>
      <c r="M39" s="26">
        <f>Input!M46</f>
        <v>0</v>
      </c>
      <c r="N39" s="26">
        <f>Input!N46</f>
        <v>0</v>
      </c>
      <c r="O39" s="26">
        <f>Input!O46</f>
        <v>0</v>
      </c>
      <c r="P39" s="26">
        <f>Input!P46</f>
        <v>0</v>
      </c>
      <c r="Q39" s="26">
        <f>Input!Q46</f>
        <v>0</v>
      </c>
      <c r="R39" s="26">
        <f>Input!R46</f>
        <v>0</v>
      </c>
      <c r="S39" s="26">
        <f>Input!S46</f>
        <v>0</v>
      </c>
      <c r="T39" s="26">
        <f>Input!T46</f>
        <v>0</v>
      </c>
    </row>
    <row r="40" spans="1:20" x14ac:dyDescent="0.25">
      <c r="A40" s="2">
        <v>38</v>
      </c>
      <c r="B40" s="1" t="str">
        <f>Input!W47</f>
        <v>Менеджер41</v>
      </c>
      <c r="C40" s="30">
        <f t="shared" si="0"/>
        <v>0</v>
      </c>
      <c r="D40" s="26">
        <f>Input!D47</f>
        <v>0</v>
      </c>
      <c r="E40" s="26">
        <f>Input!E47</f>
        <v>0</v>
      </c>
      <c r="F40" s="26">
        <f>Input!F47</f>
        <v>0</v>
      </c>
      <c r="G40" s="26">
        <f>Input!G47</f>
        <v>0</v>
      </c>
      <c r="H40" s="26">
        <f>Input!H47</f>
        <v>0</v>
      </c>
      <c r="I40" s="26">
        <f>Input!I47</f>
        <v>0</v>
      </c>
      <c r="J40" s="26">
        <f>Input!J47</f>
        <v>0</v>
      </c>
      <c r="K40" s="26">
        <f>Input!K47</f>
        <v>0</v>
      </c>
      <c r="L40" s="26">
        <f>Input!L47</f>
        <v>0</v>
      </c>
      <c r="M40" s="26">
        <f>Input!M47</f>
        <v>0</v>
      </c>
      <c r="N40" s="26">
        <f>Input!N47</f>
        <v>0</v>
      </c>
      <c r="O40" s="26">
        <f>Input!O47</f>
        <v>0</v>
      </c>
      <c r="P40" s="26">
        <f>Input!P47</f>
        <v>0</v>
      </c>
      <c r="Q40" s="26">
        <f>Input!Q47</f>
        <v>0</v>
      </c>
      <c r="R40" s="26">
        <f>Input!R47</f>
        <v>0</v>
      </c>
      <c r="S40" s="26">
        <f>Input!S47</f>
        <v>0</v>
      </c>
      <c r="T40" s="26">
        <f>Input!T47</f>
        <v>0</v>
      </c>
    </row>
    <row r="41" spans="1:20" x14ac:dyDescent="0.25">
      <c r="A41" s="2">
        <v>39</v>
      </c>
      <c r="B41" s="1" t="str">
        <f>Input!W49</f>
        <v>Менеджер42</v>
      </c>
      <c r="C41" s="31">
        <f t="shared" si="0"/>
        <v>2</v>
      </c>
      <c r="D41" s="28">
        <f>Input!D49</f>
        <v>0</v>
      </c>
      <c r="E41" s="28">
        <f>Input!E49</f>
        <v>0</v>
      </c>
      <c r="F41" s="28">
        <f>Input!F49</f>
        <v>2</v>
      </c>
      <c r="G41" s="28">
        <f>Input!G49</f>
        <v>0</v>
      </c>
      <c r="H41" s="28">
        <f>Input!H49</f>
        <v>0</v>
      </c>
      <c r="I41" s="28">
        <f>Input!I49</f>
        <v>0</v>
      </c>
      <c r="J41" s="28">
        <f>Input!J49</f>
        <v>0</v>
      </c>
      <c r="K41" s="28">
        <f>Input!K49</f>
        <v>0</v>
      </c>
      <c r="L41" s="28">
        <f>Input!L49</f>
        <v>0</v>
      </c>
      <c r="M41" s="28">
        <f>Input!M49</f>
        <v>0</v>
      </c>
      <c r="N41" s="28">
        <f>Input!N49</f>
        <v>0</v>
      </c>
      <c r="O41" s="28">
        <f>Input!O49</f>
        <v>0</v>
      </c>
      <c r="P41" s="28">
        <f>Input!P49</f>
        <v>0</v>
      </c>
      <c r="Q41" s="28">
        <f>Input!Q49</f>
        <v>0</v>
      </c>
      <c r="R41" s="28">
        <f>Input!R49</f>
        <v>0</v>
      </c>
      <c r="S41" s="28">
        <f>Input!S49</f>
        <v>0</v>
      </c>
      <c r="T41" s="28">
        <f>Input!T49</f>
        <v>0</v>
      </c>
    </row>
    <row r="42" spans="1:20" x14ac:dyDescent="0.25">
      <c r="A42" s="2">
        <v>40</v>
      </c>
      <c r="B42" s="1" t="str">
        <f>Input!W50</f>
        <v>Менеджер43</v>
      </c>
      <c r="C42" s="31">
        <f t="shared" si="0"/>
        <v>1</v>
      </c>
      <c r="D42" s="28">
        <f>Input!D50</f>
        <v>0</v>
      </c>
      <c r="E42" s="28">
        <f>Input!E50</f>
        <v>0</v>
      </c>
      <c r="F42" s="28">
        <f>Input!F50</f>
        <v>1</v>
      </c>
      <c r="G42" s="28">
        <f>Input!G50</f>
        <v>0</v>
      </c>
      <c r="H42" s="28">
        <f>Input!H50</f>
        <v>0</v>
      </c>
      <c r="I42" s="28">
        <f>Input!I50</f>
        <v>0</v>
      </c>
      <c r="J42" s="28">
        <f>Input!J50</f>
        <v>0</v>
      </c>
      <c r="K42" s="28">
        <f>Input!K50</f>
        <v>0</v>
      </c>
      <c r="L42" s="28">
        <f>Input!L50</f>
        <v>0</v>
      </c>
      <c r="M42" s="28">
        <f>Input!M50</f>
        <v>0</v>
      </c>
      <c r="N42" s="28">
        <f>Input!N50</f>
        <v>0</v>
      </c>
      <c r="O42" s="28">
        <f>Input!O50</f>
        <v>0</v>
      </c>
      <c r="P42" s="28">
        <f>Input!P50</f>
        <v>0</v>
      </c>
      <c r="Q42" s="28">
        <f>Input!Q50</f>
        <v>0</v>
      </c>
      <c r="R42" s="28">
        <f>Input!R50</f>
        <v>0</v>
      </c>
      <c r="S42" s="28">
        <f>Input!S50</f>
        <v>0</v>
      </c>
      <c r="T42" s="28">
        <f>Input!T50</f>
        <v>0</v>
      </c>
    </row>
    <row r="43" spans="1:20" x14ac:dyDescent="0.25">
      <c r="A43" s="2">
        <v>41</v>
      </c>
      <c r="B43" s="1" t="str">
        <f>Input!W51</f>
        <v>Менеджер44</v>
      </c>
      <c r="C43" s="31">
        <f t="shared" si="0"/>
        <v>6</v>
      </c>
      <c r="D43" s="28">
        <f>Input!D51</f>
        <v>1</v>
      </c>
      <c r="E43" s="28">
        <f>Input!E51</f>
        <v>0</v>
      </c>
      <c r="F43" s="28">
        <f>Input!F51</f>
        <v>0</v>
      </c>
      <c r="G43" s="28">
        <f>Input!G51</f>
        <v>5</v>
      </c>
      <c r="H43" s="28">
        <f>Input!H51</f>
        <v>0</v>
      </c>
      <c r="I43" s="28">
        <f>Input!I51</f>
        <v>0</v>
      </c>
      <c r="J43" s="28">
        <f>Input!J51</f>
        <v>0</v>
      </c>
      <c r="K43" s="28">
        <f>Input!K51</f>
        <v>0</v>
      </c>
      <c r="L43" s="28">
        <f>Input!L51</f>
        <v>0</v>
      </c>
      <c r="M43" s="28">
        <f>Input!M51</f>
        <v>0</v>
      </c>
      <c r="N43" s="28">
        <f>Input!N51</f>
        <v>0</v>
      </c>
      <c r="O43" s="28">
        <f>Input!O51</f>
        <v>0</v>
      </c>
      <c r="P43" s="28">
        <f>Input!P51</f>
        <v>0</v>
      </c>
      <c r="Q43" s="28">
        <f>Input!Q51</f>
        <v>0</v>
      </c>
      <c r="R43" s="28">
        <f>Input!R51</f>
        <v>0</v>
      </c>
      <c r="S43" s="28">
        <f>Input!S51</f>
        <v>0</v>
      </c>
      <c r="T43" s="28">
        <f>Input!T51</f>
        <v>0</v>
      </c>
    </row>
    <row r="44" spans="1:20" ht="14.8" thickBot="1" x14ac:dyDescent="0.3">
      <c r="A44" s="3"/>
      <c r="B44" s="4" t="s">
        <v>1</v>
      </c>
      <c r="C44" s="5">
        <f t="shared" ref="C44:I44" si="1">SUM(C3:C43)</f>
        <v>163</v>
      </c>
      <c r="D44" s="5">
        <f t="shared" si="1"/>
        <v>46</v>
      </c>
      <c r="E44" s="5">
        <f t="shared" si="1"/>
        <v>9</v>
      </c>
      <c r="F44" s="5">
        <f t="shared" si="1"/>
        <v>14</v>
      </c>
      <c r="G44" s="5">
        <f t="shared" si="1"/>
        <v>10</v>
      </c>
      <c r="H44" s="5">
        <f t="shared" si="1"/>
        <v>5</v>
      </c>
      <c r="I44" s="5">
        <f t="shared" si="1"/>
        <v>20</v>
      </c>
      <c r="J44" s="5">
        <f t="shared" ref="J44:T44" si="2">SUM(J3:J43)</f>
        <v>13</v>
      </c>
      <c r="K44" s="5">
        <f t="shared" si="2"/>
        <v>17</v>
      </c>
      <c r="L44" s="5">
        <f t="shared" si="2"/>
        <v>7</v>
      </c>
      <c r="M44" s="5">
        <f t="shared" si="2"/>
        <v>6</v>
      </c>
      <c r="N44" s="5">
        <f t="shared" si="2"/>
        <v>16</v>
      </c>
      <c r="O44" s="5">
        <f t="shared" si="2"/>
        <v>0</v>
      </c>
      <c r="P44" s="5">
        <f t="shared" si="2"/>
        <v>0</v>
      </c>
      <c r="Q44" s="5">
        <f t="shared" si="2"/>
        <v>0</v>
      </c>
      <c r="R44" s="5">
        <f t="shared" si="2"/>
        <v>0</v>
      </c>
      <c r="S44" s="5">
        <f t="shared" si="2"/>
        <v>0</v>
      </c>
      <c r="T44" s="6">
        <f t="shared" si="2"/>
        <v>0</v>
      </c>
    </row>
    <row r="45" spans="1:20" x14ac:dyDescent="0.25">
      <c r="A45" s="36"/>
    </row>
    <row r="46" spans="1:20" ht="14.15" customHeight="1" x14ac:dyDescent="0.25"/>
    <row r="54" spans="2:21" x14ac:dyDescent="0.25"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</row>
  </sheetData>
  <sheetProtection sheet="1" objects="1" scenarios="1"/>
  <conditionalFormatting sqref="D3:T44">
    <cfRule type="cellIs" dxfId="1" priority="2" operator="equal">
      <formula>0</formula>
    </cfRule>
  </conditionalFormatting>
  <conditionalFormatting sqref="C3:C43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2"/>
  <sheetViews>
    <sheetView zoomScale="85" zoomScaleNormal="85" workbookViewId="0"/>
  </sheetViews>
  <sheetFormatPr defaultRowHeight="14.15" x14ac:dyDescent="0.25"/>
  <cols>
    <col min="1" max="1" width="29.875" customWidth="1"/>
    <col min="2" max="2" width="6.5" customWidth="1"/>
    <col min="3" max="3" width="8.875" customWidth="1"/>
  </cols>
  <sheetData>
    <row r="1" spans="1:5" ht="11.45" customHeight="1" x14ac:dyDescent="0.25">
      <c r="A1" s="16"/>
      <c r="B1" s="17"/>
      <c r="C1" s="12">
        <f>COUNTIF(B2:B42,"&gt;0")</f>
        <v>0</v>
      </c>
      <c r="D1" s="38">
        <f>SUM(B2:B42)</f>
        <v>0</v>
      </c>
      <c r="E1" s="38"/>
    </row>
    <row r="2" spans="1:5" ht="11.45" customHeight="1" x14ac:dyDescent="0.25">
      <c r="A2" s="16"/>
      <c r="B2" s="11"/>
    </row>
    <row r="3" spans="1:5" ht="11.45" customHeight="1" x14ac:dyDescent="0.25">
      <c r="A3" s="16"/>
      <c r="B3" s="11"/>
    </row>
    <row r="4" spans="1:5" ht="11.45" customHeight="1" x14ac:dyDescent="0.25">
      <c r="A4" s="16"/>
      <c r="B4" s="11"/>
    </row>
    <row r="5" spans="1:5" ht="11.45" customHeight="1" x14ac:dyDescent="0.25">
      <c r="A5" s="16"/>
      <c r="B5" s="11"/>
    </row>
    <row r="6" spans="1:5" ht="11.45" customHeight="1" x14ac:dyDescent="0.25">
      <c r="A6" s="16"/>
      <c r="B6" s="11"/>
    </row>
    <row r="7" spans="1:5" ht="11.45" customHeight="1" x14ac:dyDescent="0.25">
      <c r="A7" s="16"/>
      <c r="B7" s="11"/>
    </row>
    <row r="8" spans="1:5" ht="11.45" customHeight="1" x14ac:dyDescent="0.25">
      <c r="A8" s="16"/>
      <c r="B8" s="11"/>
    </row>
    <row r="9" spans="1:5" ht="11.45" customHeight="1" x14ac:dyDescent="0.25">
      <c r="A9" s="16"/>
      <c r="B9" s="11"/>
    </row>
    <row r="10" spans="1:5" ht="11.45" customHeight="1" x14ac:dyDescent="0.25">
      <c r="A10" s="16"/>
      <c r="B10" s="11"/>
    </row>
    <row r="11" spans="1:5" ht="11.45" customHeight="1" x14ac:dyDescent="0.25">
      <c r="A11" s="16"/>
      <c r="B11" s="11"/>
    </row>
    <row r="12" spans="1:5" ht="11.45" customHeight="1" x14ac:dyDescent="0.25">
      <c r="A12" s="16"/>
      <c r="B12" s="11"/>
    </row>
    <row r="13" spans="1:5" ht="11.45" customHeight="1" x14ac:dyDescent="0.25">
      <c r="A13" s="16"/>
      <c r="B13" s="11"/>
    </row>
    <row r="14" spans="1:5" ht="11.45" customHeight="1" x14ac:dyDescent="0.25">
      <c r="A14" s="16"/>
      <c r="B14" s="11"/>
    </row>
    <row r="15" spans="1:5" ht="11.45" customHeight="1" x14ac:dyDescent="0.25">
      <c r="A15" s="16"/>
      <c r="B15" s="11"/>
    </row>
    <row r="16" spans="1:5" ht="11.45" customHeight="1" x14ac:dyDescent="0.25">
      <c r="A16" s="16"/>
      <c r="B16" s="11"/>
    </row>
    <row r="17" spans="1:2" ht="11.45" customHeight="1" x14ac:dyDescent="0.25">
      <c r="A17" s="16"/>
      <c r="B17" s="11"/>
    </row>
    <row r="18" spans="1:2" ht="11.45" customHeight="1" x14ac:dyDescent="0.25">
      <c r="A18" s="16"/>
      <c r="B18" s="11"/>
    </row>
    <row r="19" spans="1:2" ht="11.45" customHeight="1" x14ac:dyDescent="0.25">
      <c r="A19" s="16"/>
      <c r="B19" s="11"/>
    </row>
    <row r="20" spans="1:2" ht="11.45" customHeight="1" x14ac:dyDescent="0.25">
      <c r="A20" s="16"/>
      <c r="B20" s="11"/>
    </row>
    <row r="21" spans="1:2" ht="11.45" customHeight="1" x14ac:dyDescent="0.25">
      <c r="A21" s="16"/>
      <c r="B21" s="11"/>
    </row>
    <row r="22" spans="1:2" ht="11.45" customHeight="1" x14ac:dyDescent="0.25">
      <c r="A22" s="16"/>
      <c r="B22" s="11"/>
    </row>
    <row r="23" spans="1:2" ht="11.45" customHeight="1" x14ac:dyDescent="0.25">
      <c r="A23" s="16"/>
      <c r="B23" s="11"/>
    </row>
    <row r="24" spans="1:2" ht="11.45" customHeight="1" x14ac:dyDescent="0.25">
      <c r="A24" s="16"/>
      <c r="B24" s="11"/>
    </row>
    <row r="25" spans="1:2" ht="11.45" customHeight="1" x14ac:dyDescent="0.25">
      <c r="A25" s="16"/>
      <c r="B25" s="11"/>
    </row>
    <row r="26" spans="1:2" ht="11.45" customHeight="1" x14ac:dyDescent="0.25">
      <c r="A26" s="16"/>
      <c r="B26" s="11"/>
    </row>
    <row r="27" spans="1:2" ht="11.45" customHeight="1" x14ac:dyDescent="0.25">
      <c r="A27" s="16"/>
      <c r="B27" s="11"/>
    </row>
    <row r="28" spans="1:2" ht="11.45" customHeight="1" x14ac:dyDescent="0.25">
      <c r="A28" s="16"/>
      <c r="B28" s="11"/>
    </row>
    <row r="29" spans="1:2" ht="11.45" customHeight="1" x14ac:dyDescent="0.25">
      <c r="A29" s="16"/>
      <c r="B29" s="11"/>
    </row>
    <row r="30" spans="1:2" ht="11.45" customHeight="1" x14ac:dyDescent="0.25">
      <c r="A30" s="16"/>
      <c r="B30" s="11"/>
    </row>
    <row r="31" spans="1:2" ht="11.45" customHeight="1" x14ac:dyDescent="0.25">
      <c r="A31" s="16"/>
      <c r="B31" s="11"/>
    </row>
    <row r="32" spans="1:2" ht="11.45" customHeight="1" x14ac:dyDescent="0.25">
      <c r="A32" s="16"/>
      <c r="B32" s="11"/>
    </row>
    <row r="33" spans="1:2" ht="11.45" customHeight="1" x14ac:dyDescent="0.25">
      <c r="A33" s="16"/>
      <c r="B33" s="11"/>
    </row>
    <row r="34" spans="1:2" ht="11.45" customHeight="1" x14ac:dyDescent="0.25">
      <c r="A34" s="16"/>
      <c r="B34" s="11"/>
    </row>
    <row r="35" spans="1:2" ht="11.45" customHeight="1" x14ac:dyDescent="0.25">
      <c r="A35" s="16"/>
      <c r="B35" s="11"/>
    </row>
    <row r="36" spans="1:2" ht="11.45" customHeight="1" x14ac:dyDescent="0.25">
      <c r="A36" s="16"/>
      <c r="B36" s="11"/>
    </row>
    <row r="37" spans="1:2" ht="11.45" customHeight="1" x14ac:dyDescent="0.25">
      <c r="A37" s="16"/>
      <c r="B37" s="11"/>
    </row>
    <row r="38" spans="1:2" ht="11.45" customHeight="1" x14ac:dyDescent="0.25">
      <c r="A38" s="16"/>
      <c r="B38" s="11"/>
    </row>
    <row r="39" spans="1:2" ht="11.45" customHeight="1" x14ac:dyDescent="0.25">
      <c r="A39" s="16"/>
      <c r="B39" s="11"/>
    </row>
    <row r="40" spans="1:2" ht="11.45" customHeight="1" x14ac:dyDescent="0.25">
      <c r="A40" s="16"/>
      <c r="B40" s="11"/>
    </row>
    <row r="41" spans="1:2" ht="11.45" customHeight="1" x14ac:dyDescent="0.25">
      <c r="A41" s="16"/>
      <c r="B41" s="11"/>
    </row>
    <row r="42" spans="1:2" ht="11.45" customHeight="1" x14ac:dyDescent="0.25">
      <c r="A42" s="16"/>
      <c r="B42" s="11"/>
    </row>
  </sheetData>
  <sortState ref="A2:B42">
    <sortCondition descending="1" ref="B2:B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C24"/>
  <sheetViews>
    <sheetView topLeftCell="A10" workbookViewId="0">
      <selection activeCell="B28" sqref="B28"/>
    </sheetView>
  </sheetViews>
  <sheetFormatPr defaultRowHeight="14.15" x14ac:dyDescent="0.25"/>
  <cols>
    <col min="2" max="2" width="55.125" customWidth="1"/>
  </cols>
  <sheetData>
    <row r="2" spans="1:3" ht="60.6" customHeight="1" x14ac:dyDescent="0.25">
      <c r="B2" s="15"/>
    </row>
    <row r="4" spans="1:3" x14ac:dyDescent="0.25">
      <c r="A4" s="41">
        <v>1</v>
      </c>
      <c r="B4" s="42" t="s">
        <v>3</v>
      </c>
      <c r="C4" s="41"/>
    </row>
    <row r="5" spans="1:3" x14ac:dyDescent="0.25">
      <c r="A5" s="41">
        <v>2</v>
      </c>
      <c r="B5" s="43" t="s">
        <v>9</v>
      </c>
      <c r="C5" s="41"/>
    </row>
    <row r="6" spans="1:3" x14ac:dyDescent="0.25">
      <c r="A6" s="41">
        <v>3</v>
      </c>
      <c r="B6" s="44" t="s">
        <v>5</v>
      </c>
      <c r="C6" s="41"/>
    </row>
    <row r="7" spans="1:3" x14ac:dyDescent="0.25">
      <c r="A7" s="41">
        <v>4</v>
      </c>
      <c r="B7" s="45" t="s">
        <v>8</v>
      </c>
      <c r="C7" s="41"/>
    </row>
    <row r="8" spans="1:3" x14ac:dyDescent="0.25">
      <c r="A8" s="41">
        <v>5</v>
      </c>
      <c r="B8" s="46" t="s">
        <v>65</v>
      </c>
      <c r="C8" s="12" t="s">
        <v>14</v>
      </c>
    </row>
    <row r="9" spans="1:3" x14ac:dyDescent="0.25">
      <c r="A9" s="41">
        <v>6</v>
      </c>
      <c r="B9" s="47" t="s">
        <v>12</v>
      </c>
      <c r="C9" s="37" t="s">
        <v>10</v>
      </c>
    </row>
    <row r="10" spans="1:3" x14ac:dyDescent="0.25">
      <c r="A10" s="41">
        <v>7</v>
      </c>
      <c r="B10" s="48" t="s">
        <v>4</v>
      </c>
      <c r="C10" s="41"/>
    </row>
    <row r="11" spans="1:3" x14ac:dyDescent="0.25">
      <c r="A11" s="41">
        <v>8</v>
      </c>
      <c r="B11" s="42"/>
      <c r="C11" s="41"/>
    </row>
    <row r="12" spans="1:3" x14ac:dyDescent="0.25">
      <c r="A12" s="41">
        <v>9</v>
      </c>
      <c r="B12" s="49" t="s">
        <v>18</v>
      </c>
      <c r="C12" s="41"/>
    </row>
    <row r="13" spans="1:3" x14ac:dyDescent="0.25">
      <c r="A13" s="41">
        <v>10</v>
      </c>
      <c r="B13" s="44" t="s">
        <v>92</v>
      </c>
      <c r="C13" s="41"/>
    </row>
    <row r="14" spans="1:3" x14ac:dyDescent="0.25">
      <c r="A14" s="41">
        <v>11</v>
      </c>
      <c r="B14" s="41" t="s">
        <v>73</v>
      </c>
      <c r="C14" s="41"/>
    </row>
    <row r="15" spans="1:3" x14ac:dyDescent="0.25">
      <c r="A15" s="41">
        <v>12</v>
      </c>
      <c r="B15" s="41" t="s">
        <v>70</v>
      </c>
      <c r="C15" s="41"/>
    </row>
    <row r="16" spans="1:3" x14ac:dyDescent="0.25">
      <c r="A16" s="41">
        <v>13</v>
      </c>
      <c r="B16" s="41" t="s">
        <v>72</v>
      </c>
      <c r="C16" s="41"/>
    </row>
    <row r="17" spans="1:3" x14ac:dyDescent="0.25">
      <c r="A17" s="41">
        <v>14</v>
      </c>
      <c r="B17" s="46" t="s">
        <v>66</v>
      </c>
      <c r="C17" s="12">
        <v>1</v>
      </c>
    </row>
    <row r="18" spans="1:3" x14ac:dyDescent="0.25">
      <c r="A18" s="41">
        <v>15</v>
      </c>
      <c r="B18" s="47" t="s">
        <v>13</v>
      </c>
      <c r="C18" s="37" t="s">
        <v>11</v>
      </c>
    </row>
    <row r="19" spans="1:3" x14ac:dyDescent="0.25">
      <c r="A19" s="41">
        <v>16</v>
      </c>
      <c r="B19" s="41" t="s">
        <v>67</v>
      </c>
      <c r="C19" s="41"/>
    </row>
    <row r="20" spans="1:3" x14ac:dyDescent="0.25">
      <c r="A20" s="41">
        <v>17</v>
      </c>
      <c r="B20" s="41" t="s">
        <v>71</v>
      </c>
      <c r="C20" s="41"/>
    </row>
    <row r="21" spans="1:3" x14ac:dyDescent="0.25">
      <c r="A21" s="41">
        <v>18</v>
      </c>
      <c r="B21" s="46" t="s">
        <v>68</v>
      </c>
      <c r="C21" s="12" t="s">
        <v>15</v>
      </c>
    </row>
    <row r="22" spans="1:3" x14ac:dyDescent="0.25">
      <c r="A22" s="41">
        <v>19</v>
      </c>
      <c r="B22" s="41" t="s">
        <v>17</v>
      </c>
      <c r="C22" s="41"/>
    </row>
    <row r="23" spans="1:3" x14ac:dyDescent="0.25">
      <c r="A23" s="41">
        <v>20</v>
      </c>
      <c r="B23" s="41" t="s">
        <v>93</v>
      </c>
      <c r="C23" s="41"/>
    </row>
    <row r="24" spans="1:3" x14ac:dyDescent="0.25">
      <c r="A24" s="41">
        <v>21</v>
      </c>
      <c r="B24" s="41" t="s">
        <v>69</v>
      </c>
      <c r="C24" s="4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"/>
  <sheetViews>
    <sheetView workbookViewId="0">
      <selection activeCell="B2" sqref="B2"/>
    </sheetView>
  </sheetViews>
  <sheetFormatPr defaultRowHeight="14.15" x14ac:dyDescent="0.25"/>
  <cols>
    <col min="2" max="2" width="92.5" customWidth="1"/>
  </cols>
  <sheetData>
    <row r="2" spans="2:2" ht="258.39999999999998" customHeight="1" x14ac:dyDescent="0.25">
      <c r="B2" s="14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Input</vt:lpstr>
      <vt:lpstr>List</vt:lpstr>
      <vt:lpstr>Calc</vt:lpstr>
      <vt:lpstr>Settings</vt:lpstr>
      <vt:lpstr>Result</vt:lpstr>
      <vt:lpstr>Input!Print_Titles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Volta</dc:creator>
  <cp:lastModifiedBy>Volta</cp:lastModifiedBy>
  <dcterms:created xsi:type="dcterms:W3CDTF">2017-09-08T16:13:27Z</dcterms:created>
  <dcterms:modified xsi:type="dcterms:W3CDTF">2018-02-06T18:47:20Z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4800eca4-a132-411b-a2b2-2fe69b185086</vt:lpwstr>
  </property>
</Properties>
</file>